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25004E11-B392-4ACA-82F6-B7F492DCF6F2}" xr6:coauthVersionLast="47" xr6:coauthVersionMax="47" xr10:uidLastSave="{00000000-0000-0000-0000-000000000000}"/>
  <bookViews>
    <workbookView xWindow="11424" yWindow="0" windowWidth="11712" windowHeight="13056" xr2:uid="{1DC180AE-C438-4283-8434-3796AD931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" i="1" l="1"/>
  <c r="N9" i="1"/>
  <c r="N7" i="1"/>
  <c r="M9" i="1"/>
  <c r="M8" i="1"/>
  <c r="M7" i="1"/>
  <c r="L8" i="1"/>
  <c r="L9" i="1"/>
  <c r="L7" i="1"/>
  <c r="I11" i="1"/>
  <c r="I7" i="1"/>
  <c r="E22" i="1"/>
  <c r="H9" i="1"/>
  <c r="I9" i="1" s="1"/>
  <c r="H7" i="1"/>
</calcChain>
</file>

<file path=xl/sharedStrings.xml><?xml version="1.0" encoding="utf-8"?>
<sst xmlns="http://schemas.openxmlformats.org/spreadsheetml/2006/main" count="35" uniqueCount="18">
  <si>
    <t>MONTHS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</si>
  <si>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</si>
  <si>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</si>
  <si>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</si>
  <si>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</si>
  <si>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</si>
  <si>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</si>
  <si>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</si>
  <si>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</si>
  <si>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</si>
  <si>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</si>
  <si>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</si>
  <si>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</si>
  <si>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</si>
  <si>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JUN </t>
  </si>
  <si>
    <t>VLOOKUP</t>
  </si>
  <si>
    <t>INDEX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</si>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</sst>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0D9E7-3E41-469F-A1AB-CB6150EA6F92}">
  <dimension ref="B4:N22"/>
  <sheetViews>
    <sheetView tabSelected="1" topLeftCell="G1" workbookViewId="0">
      <selection activeCell="R8" sqref="R8"/>
    </sheetView>
  </sheetViews>
  <sheetFormatPr defaultRowHeight="14.4" x14ac:dyDescent="0.3"/>
  <sheetData>
    <row r="4" spans="5:14" x14ac:dyDescent="0.3">
      <c r="E4" s="1" t="s">
        <v>0</v>
      </c>
      <c r="F4" s="1" t="s">
        <v>1</v>
      </c>
    </row>
    <row r="5" spans="5:14" x14ac:dyDescent="0.3">
      <c r="E5" t="s">
        <v>2</v>
      </c>
      <c r="F5">
        <v>975</v>
      </c>
    </row>
    <row r="6" spans="5:14" x14ac:dyDescent="0.3">
      <c r="E6" t="s">
        <v>3</v>
      </c>
      <c r="F6">
        <v>140</v>
      </c>
      <c r="K6" s="1" t="s">
        <v>15</v>
      </c>
      <c r="L6" s="1"/>
      <c r="M6" s="1" t="s">
        <v>16</v>
      </c>
      <c r="N6" s="1" t="s">
        <v>17</v>
      </c>
    </row>
    <row r="7" spans="5:14" x14ac:dyDescent="0.3">
      <c r="E7" t="s">
        <v>4</v>
      </c>
      <c r="F7">
        <v>710</v>
      </c>
      <c r="H7" t="str">
        <f>INDEX(E5:E16,4)</f>
        <v>APR</v>
      </c>
      <c r="I7">
        <f>MATCH("MAR",E5:E16,0)</f>
        <v>3</v>
      </c>
      <c r="K7" s="1" t="s">
        <v>5</v>
      </c>
      <c r="L7" s="1">
        <f>VLOOKUP(K7,$E$5:$F$16,2,0)</f>
        <v>255</v>
      </c>
      <c r="M7" s="1">
        <f>INDEX($F$5:$F$16,4)</f>
        <v>255</v>
      </c>
      <c r="N7" s="1">
        <f>MATCH(K7,E5:$E$16,0)</f>
        <v>4</v>
      </c>
    </row>
    <row r="8" spans="5:14" x14ac:dyDescent="0.3">
      <c r="E8" t="s">
        <v>5</v>
      </c>
      <c r="F8">
        <v>255</v>
      </c>
      <c r="K8" s="1" t="s">
        <v>14</v>
      </c>
      <c r="L8" s="1" t="e">
        <f>VLOOKUP(K8,$E$5:$F$16,2,0)</f>
        <v>#N/A</v>
      </c>
      <c r="M8" s="1">
        <f>INDEX($F$5:$F$16,6)</f>
        <v>888</v>
      </c>
      <c r="N8" s="1" t="e">
        <f>MATCH(K8,E6:$E$16,0)</f>
        <v>#N/A</v>
      </c>
    </row>
    <row r="9" spans="5:14" x14ac:dyDescent="0.3">
      <c r="E9" t="s">
        <v>6</v>
      </c>
      <c r="F9">
        <v>594</v>
      </c>
      <c r="H9" t="str">
        <f>INDEX(E5:E16,4)</f>
        <v>APR</v>
      </c>
      <c r="I9">
        <f>MATCH(H9,E5:E16,0)</f>
        <v>4</v>
      </c>
      <c r="K9" s="1" t="s">
        <v>8</v>
      </c>
      <c r="L9" s="1">
        <f t="shared" ref="L9" si="0">VLOOKUP(K9,$E$5:$F$16,2,0)</f>
        <v>312</v>
      </c>
      <c r="M9" s="1">
        <f>INDEX($F$5:$F$16,7)</f>
        <v>312</v>
      </c>
      <c r="N9" s="1">
        <f>MATCH(K9,E7:$E$16,0)</f>
        <v>5</v>
      </c>
    </row>
    <row r="10" spans="5:14" x14ac:dyDescent="0.3">
      <c r="E10" t="s">
        <v>7</v>
      </c>
      <c r="F10">
        <v>888</v>
      </c>
    </row>
    <row r="11" spans="5:14" x14ac:dyDescent="0.3">
      <c r="E11" t="s">
        <v>8</v>
      </c>
      <c r="F11">
        <v>312</v>
      </c>
      <c r="H11" t="s">
        <v>8</v>
      </c>
      <c r="I11">
        <f>MATCH(H11,E5:E16,0)</f>
        <v>7</v>
      </c>
    </row>
    <row r="12" spans="5:14" x14ac:dyDescent="0.3">
      <c r="E12" t="s">
        <v>9</v>
      </c>
      <c r="F12">
        <v>181</v>
      </c>
    </row>
    <row r="13" spans="5:14" x14ac:dyDescent="0.3">
      <c r="E13" t="s">
        <v>10</v>
      </c>
      <c r="F13">
        <v>608</v>
      </c>
    </row>
    <row r="14" spans="5:14" x14ac:dyDescent="0.3">
      <c r="E14" t="s">
        <v>11</v>
      </c>
      <c r="F14">
        <v>989</v>
      </c>
    </row>
    <row r="15" spans="5:14" x14ac:dyDescent="0.3">
      <c r="E15" t="s">
        <v>12</v>
      </c>
      <c r="F15">
        <v>647</v>
      </c>
    </row>
    <row r="16" spans="5:14" x14ac:dyDescent="0.3">
      <c r="E16" t="s">
        <v>13</v>
      </c>
      <c r="F16">
        <v>320</v>
      </c>
    </row>
    <row r="18" spans="2:14" x14ac:dyDescent="0.3">
      <c r="B18" s="1" t="s">
        <v>0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</row>
    <row r="19" spans="2:14" x14ac:dyDescent="0.3">
      <c r="B19" s="1" t="s">
        <v>1</v>
      </c>
      <c r="C19">
        <v>975</v>
      </c>
      <c r="D19">
        <v>140</v>
      </c>
      <c r="E19">
        <v>710</v>
      </c>
      <c r="F19">
        <v>255</v>
      </c>
      <c r="G19">
        <v>594</v>
      </c>
      <c r="H19">
        <v>34</v>
      </c>
      <c r="I19">
        <v>312</v>
      </c>
      <c r="J19">
        <v>181</v>
      </c>
      <c r="K19">
        <v>608</v>
      </c>
      <c r="L19">
        <v>989</v>
      </c>
      <c r="M19">
        <v>647</v>
      </c>
      <c r="N19">
        <v>320</v>
      </c>
    </row>
    <row r="22" spans="2:14" x14ac:dyDescent="0.3">
      <c r="E22" t="str">
        <f>INDEX(C18:N18,8)</f>
        <v>AUG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2026-05-22T09:22:52Z</dcterms:created>
  <dcterms:modified xsi:type="dcterms:W3CDTF">2026-05-22T10:17:24Z</dcterms:modified>
</cp:coreProperties>
</file>