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2D6B5786-FA92-45FA-ADB6-100CD18BF9F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 a="1"/>
  <c r="K19" i="1" s="1"/>
  <c r="K13" i="1" a="1"/>
  <c r="K13" i="1" s="1"/>
  <c r="M4" i="1" a="1"/>
  <c r="M4" i="1" s="1"/>
  <c r="R3" i="1" a="1"/>
  <c r="R3" i="1" s="1"/>
  <c r="H3" i="1" a="1"/>
  <c r="H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<sst xmlns="http://schemas.openxmlformats.org/spreadsheetml/2006/main" count="44" uniqueCount="23">
  <si>
    <t>DATE</t>
  </si>
  <si>
    <t>COUNTRY</t>
  </si>
  <si>
    <t>PRODUCTKEY</t>
  </si>
  <si>
    <t>SALES</t>
  </si>
  <si>
    <t>2015-02-04</t>
  </si>
  <si>
    <t>GERMANY</t>
  </si>
  <si>
    <t>2015-01-28</t>
  </si>
  <si>
    <t>UK</t>
  </si>
  <si>
    <t>2015-01-27</t>
  </si>
  <si>
    <t>2015-01-23</t>
  </si>
  <si>
    <t>US</t>
  </si>
  <si>
    <t>INDIA</t>
  </si>
  <si>
    <t>2015-01-22</t>
  </si>
  <si>
    <t>2015-01-18</t>
  </si>
  <si>
    <t>2015-01-13</t>
  </si>
  <si>
    <t>2015-01-09</t>
  </si>
  <si>
    <t>2015-01-05</t>
  </si>
  <si>
    <t>2015-01-04</t>
  </si>
  <si>
    <t>2015-01-03</t>
  </si>
  <si>
    <t>2015-01-02</t>
  </si>
  <si>
    <t>2015-01-01</t>
  </si>
  <si>
    <t>2025-05-12</t>
  </si>
  <si>
    <t>SELECT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</si>
</sst>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27D957-35FB-4862-BEC3-611BD3B99109}" name="Table1" displayName="Table1" ref="A1:D20" totalsRowShown="0" headerRowDxfId="0">
  <autoFilter ref="A1:D20" xr:uid="{A027D957-35FB-4862-BEC3-611BD3B99109}"/>
  <tableColumns count="4">
    <tableColumn id="1" xr3:uid="{16A25928-4BC8-43D8-B929-768495C7A77E}" name="DATE"/>
    <tableColumn id="2" xr3:uid="{E0A2C905-54C7-49D4-B14E-3EC3387C2163}" name="COUNTRY"/>
    <tableColumn id="3" xr3:uid="{DAA988D9-3B69-4AB9-808E-78B87B274347}" name="PRODUCTKEY"/>
    <tableColumn id="4" xr3:uid="{56B0DA6F-1913-4B62-B115-F7F95347FD72}" name="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topLeftCell="F1" workbookViewId="0">
      <selection activeCell="K20" sqref="K20"/>
    </sheetView>
  </sheetViews>
  <sheetFormatPr defaultRowHeight="14.4" x14ac:dyDescent="0.3"/>
  <cols>
    <col min="1" max="1" width="12.109375" customWidth="1"/>
    <col min="2" max="2" width="12.44140625" customWidth="1"/>
    <col min="3" max="3" width="14.21875" customWidth="1"/>
    <col min="4" max="4" width="9.77734375" customWidth="1"/>
    <col min="12" max="12" width="16.332031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8" x14ac:dyDescent="0.3">
      <c r="A2" t="s">
        <v>4</v>
      </c>
      <c r="B2" t="s">
        <v>5</v>
      </c>
      <c r="C2">
        <v>7</v>
      </c>
      <c r="D2">
        <v>1850</v>
      </c>
      <c r="L2" s="2" t="s">
        <v>22</v>
      </c>
      <c r="M2" t="s">
        <v>10</v>
      </c>
    </row>
    <row r="3" spans="1:18" x14ac:dyDescent="0.3">
      <c r="A3" t="s">
        <v>6</v>
      </c>
      <c r="B3" t="s">
        <v>7</v>
      </c>
      <c r="C3">
        <v>24</v>
      </c>
      <c r="D3">
        <v>9991</v>
      </c>
      <c r="H3" t="str" cm="1">
        <f t="array" ref="H3:K10">_xlfn._xlws.FILTER(A2:D20,B2:B20="INDIA")</f>
        <v>2015-01-23</v>
      </c>
      <c r="I3" t="str">
        <v>INDIA</v>
      </c>
      <c r="J3">
        <v>6</v>
      </c>
      <c r="K3">
        <v>3629</v>
      </c>
      <c r="R3" t="str" cm="1">
        <f t="array" ref="R3:R6">_xlfn._xlws.SORT(_xlfn.UNIQUE(Table1[COUNTRY]))</f>
        <v>GERMANY</v>
      </c>
    </row>
    <row r="4" spans="1:18" x14ac:dyDescent="0.3">
      <c r="A4" t="s">
        <v>8</v>
      </c>
      <c r="B4" t="s">
        <v>7</v>
      </c>
      <c r="C4">
        <v>26</v>
      </c>
      <c r="D4">
        <v>7904</v>
      </c>
      <c r="H4" t="str">
        <v>2015-01-18</v>
      </c>
      <c r="I4" t="str">
        <v>INDIA</v>
      </c>
      <c r="J4">
        <v>21</v>
      </c>
      <c r="K4">
        <v>10060</v>
      </c>
      <c r="M4" t="str" cm="1">
        <f t="array" ref="M4:P7">_xlfn._xlws.FILTER(Table1[],Table1[COUNTRY]=M2)</f>
        <v>2015-01-23</v>
      </c>
      <c r="N4" t="str">
        <v>US</v>
      </c>
      <c r="O4">
        <v>11</v>
      </c>
      <c r="P4">
        <v>3502</v>
      </c>
      <c r="R4" t="str">
        <v>INDIA</v>
      </c>
    </row>
    <row r="5" spans="1:18" x14ac:dyDescent="0.3">
      <c r="A5" t="s">
        <v>9</v>
      </c>
      <c r="B5" t="s">
        <v>10</v>
      </c>
      <c r="C5">
        <v>11</v>
      </c>
      <c r="D5">
        <v>3502</v>
      </c>
      <c r="H5" t="str">
        <v>2015-01-13</v>
      </c>
      <c r="I5" t="str">
        <v>INDIA</v>
      </c>
      <c r="J5">
        <v>7</v>
      </c>
      <c r="K5">
        <v>4096</v>
      </c>
      <c r="M5" t="str">
        <v>2015-01-22</v>
      </c>
      <c r="N5" t="str">
        <v>US</v>
      </c>
      <c r="O5">
        <v>23</v>
      </c>
      <c r="P5">
        <v>8868</v>
      </c>
      <c r="R5" t="str">
        <v>UK</v>
      </c>
    </row>
    <row r="6" spans="1:18" x14ac:dyDescent="0.3">
      <c r="A6" t="s">
        <v>9</v>
      </c>
      <c r="B6" t="s">
        <v>11</v>
      </c>
      <c r="C6">
        <v>6</v>
      </c>
      <c r="D6">
        <v>3629</v>
      </c>
      <c r="H6" t="str">
        <v>2015-01-05</v>
      </c>
      <c r="I6" t="str">
        <v>INDIA</v>
      </c>
      <c r="J6">
        <v>4</v>
      </c>
      <c r="K6">
        <v>7717</v>
      </c>
      <c r="M6" t="str">
        <v>2015-01-22</v>
      </c>
      <c r="N6" t="str">
        <v>US</v>
      </c>
      <c r="O6">
        <v>9</v>
      </c>
      <c r="P6">
        <v>10697</v>
      </c>
      <c r="R6" t="str">
        <v>US</v>
      </c>
    </row>
    <row r="7" spans="1:18" x14ac:dyDescent="0.3">
      <c r="A7" t="s">
        <v>12</v>
      </c>
      <c r="B7" t="s">
        <v>10</v>
      </c>
      <c r="C7">
        <v>23</v>
      </c>
      <c r="D7">
        <v>8868</v>
      </c>
      <c r="H7" t="str">
        <v>2015-01-04</v>
      </c>
      <c r="I7" t="str">
        <v>INDIA</v>
      </c>
      <c r="J7">
        <v>6</v>
      </c>
      <c r="K7">
        <v>11089</v>
      </c>
      <c r="M7" t="str">
        <v>2015-01-13</v>
      </c>
      <c r="N7" t="str">
        <v>US</v>
      </c>
      <c r="O7">
        <v>12</v>
      </c>
      <c r="P7">
        <v>7368</v>
      </c>
    </row>
    <row r="8" spans="1:18" x14ac:dyDescent="0.3">
      <c r="A8" t="s">
        <v>12</v>
      </c>
      <c r="B8" t="s">
        <v>10</v>
      </c>
      <c r="C8">
        <v>9</v>
      </c>
      <c r="D8">
        <v>10697</v>
      </c>
      <c r="H8" t="str">
        <v>2015-01-02</v>
      </c>
      <c r="I8" t="str">
        <v>INDIA</v>
      </c>
      <c r="J8">
        <v>4</v>
      </c>
      <c r="K8">
        <v>10574</v>
      </c>
    </row>
    <row r="9" spans="1:18" x14ac:dyDescent="0.3">
      <c r="A9" t="s">
        <v>13</v>
      </c>
      <c r="B9" t="s">
        <v>11</v>
      </c>
      <c r="C9">
        <v>21</v>
      </c>
      <c r="D9">
        <v>10060</v>
      </c>
      <c r="H9" t="str">
        <v>2015-01-01</v>
      </c>
      <c r="I9" t="str">
        <v>INDIA</v>
      </c>
      <c r="J9">
        <v>10</v>
      </c>
      <c r="K9">
        <v>7067</v>
      </c>
    </row>
    <row r="10" spans="1:18" x14ac:dyDescent="0.3">
      <c r="A10" t="s">
        <v>14</v>
      </c>
      <c r="B10" t="s">
        <v>11</v>
      </c>
      <c r="C10">
        <v>7</v>
      </c>
      <c r="D10">
        <v>4096</v>
      </c>
      <c r="H10" t="str">
        <v>2025-05-12</v>
      </c>
      <c r="I10" t="str">
        <v>INDIA</v>
      </c>
      <c r="J10">
        <v>20</v>
      </c>
      <c r="K10">
        <v>14000</v>
      </c>
    </row>
    <row r="11" spans="1:18" x14ac:dyDescent="0.3">
      <c r="A11" t="s">
        <v>14</v>
      </c>
      <c r="B11" t="s">
        <v>10</v>
      </c>
      <c r="C11">
        <v>12</v>
      </c>
      <c r="D11">
        <v>7368</v>
      </c>
    </row>
    <row r="12" spans="1:18" x14ac:dyDescent="0.3">
      <c r="A12" t="s">
        <v>15</v>
      </c>
      <c r="B12" t="s">
        <v>5</v>
      </c>
      <c r="C12">
        <v>7</v>
      </c>
      <c r="D12">
        <v>6971</v>
      </c>
    </row>
    <row r="13" spans="1:18" x14ac:dyDescent="0.3">
      <c r="A13" t="s">
        <v>16</v>
      </c>
      <c r="B13" t="s">
        <v>11</v>
      </c>
      <c r="C13">
        <v>4</v>
      </c>
      <c r="D13">
        <v>7717</v>
      </c>
      <c r="K13" t="str" cm="1">
        <f t="array" ref="K13:N16">_xlfn._xlws.FILTER(Table1[],(Table1[COUNTRY]="INDIA")*(Table1[SALES]&gt;=10000))</f>
        <v>2015-01-18</v>
      </c>
      <c r="L13" t="str">
        <v>INDIA</v>
      </c>
      <c r="M13">
        <v>21</v>
      </c>
      <c r="N13">
        <v>10060</v>
      </c>
    </row>
    <row r="14" spans="1:18" x14ac:dyDescent="0.3">
      <c r="A14" t="s">
        <v>17</v>
      </c>
      <c r="B14" t="s">
        <v>7</v>
      </c>
      <c r="C14">
        <v>6</v>
      </c>
      <c r="D14">
        <v>12533</v>
      </c>
      <c r="K14" t="str">
        <v>2015-01-04</v>
      </c>
      <c r="L14" t="str">
        <v>INDIA</v>
      </c>
      <c r="M14">
        <v>6</v>
      </c>
      <c r="N14">
        <v>11089</v>
      </c>
    </row>
    <row r="15" spans="1:18" x14ac:dyDescent="0.3">
      <c r="A15" t="s">
        <v>17</v>
      </c>
      <c r="B15" t="s">
        <v>11</v>
      </c>
      <c r="C15">
        <v>6</v>
      </c>
      <c r="D15">
        <v>11089</v>
      </c>
      <c r="K15" t="str">
        <v>2015-01-02</v>
      </c>
      <c r="L15" t="str">
        <v>INDIA</v>
      </c>
      <c r="M15">
        <v>4</v>
      </c>
      <c r="N15">
        <v>10574</v>
      </c>
    </row>
    <row r="16" spans="1:18" x14ac:dyDescent="0.3">
      <c r="A16" t="s">
        <v>18</v>
      </c>
      <c r="B16" t="s">
        <v>7</v>
      </c>
      <c r="C16">
        <v>23</v>
      </c>
      <c r="D16">
        <v>11224</v>
      </c>
      <c r="K16" t="str">
        <v>2025-05-12</v>
      </c>
      <c r="L16" t="str">
        <v>INDIA</v>
      </c>
      <c r="M16">
        <v>20</v>
      </c>
      <c r="N16">
        <v>14000</v>
      </c>
    </row>
    <row r="17" spans="1:14" x14ac:dyDescent="0.3">
      <c r="A17" t="s">
        <v>19</v>
      </c>
      <c r="B17" t="s">
        <v>5</v>
      </c>
      <c r="C17">
        <v>6</v>
      </c>
      <c r="D17">
        <v>10057</v>
      </c>
    </row>
    <row r="18" spans="1:14" x14ac:dyDescent="0.3">
      <c r="A18" t="s">
        <v>19</v>
      </c>
      <c r="B18" t="s">
        <v>11</v>
      </c>
      <c r="C18">
        <v>4</v>
      </c>
      <c r="D18">
        <v>10574</v>
      </c>
    </row>
    <row r="19" spans="1:14" x14ac:dyDescent="0.3">
      <c r="A19" t="s">
        <v>20</v>
      </c>
      <c r="B19" t="s">
        <v>11</v>
      </c>
      <c r="C19">
        <v>10</v>
      </c>
      <c r="D19">
        <v>7067</v>
      </c>
      <c r="K19" t="str" cm="1">
        <f t="array" ref="K19:N30">_xlfn._xlws.SORT(_xlfn._xlws.FILTER(Table1[],(Table1[COUNTRY]="INDIA")+(Table1[COUNTRY]="UK")),2)</f>
        <v>2015-01-23</v>
      </c>
      <c r="L19" t="str">
        <v>INDIA</v>
      </c>
      <c r="M19">
        <v>6</v>
      </c>
      <c r="N19">
        <v>3629</v>
      </c>
    </row>
    <row r="20" spans="1:14" x14ac:dyDescent="0.3">
      <c r="A20" t="s">
        <v>21</v>
      </c>
      <c r="B20" t="s">
        <v>11</v>
      </c>
      <c r="C20">
        <v>20</v>
      </c>
      <c r="D20">
        <v>14000</v>
      </c>
      <c r="K20" t="str">
        <v>2015-01-18</v>
      </c>
      <c r="L20" t="str">
        <v>INDIA</v>
      </c>
      <c r="M20">
        <v>21</v>
      </c>
      <c r="N20">
        <v>10060</v>
      </c>
    </row>
    <row r="21" spans="1:14" x14ac:dyDescent="0.3">
      <c r="K21" t="str">
        <v>2015-01-13</v>
      </c>
      <c r="L21" t="str">
        <v>INDIA</v>
      </c>
      <c r="M21">
        <v>7</v>
      </c>
      <c r="N21">
        <v>4096</v>
      </c>
    </row>
    <row r="22" spans="1:14" x14ac:dyDescent="0.3">
      <c r="K22" t="str">
        <v>2015-01-05</v>
      </c>
      <c r="L22" t="str">
        <v>INDIA</v>
      </c>
      <c r="M22">
        <v>4</v>
      </c>
      <c r="N22">
        <v>7717</v>
      </c>
    </row>
    <row r="23" spans="1:14" x14ac:dyDescent="0.3">
      <c r="K23" t="str">
        <v>2015-01-04</v>
      </c>
      <c r="L23" t="str">
        <v>INDIA</v>
      </c>
      <c r="M23">
        <v>6</v>
      </c>
      <c r="N23">
        <v>11089</v>
      </c>
    </row>
    <row r="24" spans="1:14" x14ac:dyDescent="0.3">
      <c r="K24" t="str">
        <v>2015-01-02</v>
      </c>
      <c r="L24" t="str">
        <v>INDIA</v>
      </c>
      <c r="M24">
        <v>4</v>
      </c>
      <c r="N24">
        <v>10574</v>
      </c>
    </row>
    <row r="25" spans="1:14" x14ac:dyDescent="0.3">
      <c r="K25" t="str">
        <v>2015-01-01</v>
      </c>
      <c r="L25" t="str">
        <v>INDIA</v>
      </c>
      <c r="M25">
        <v>10</v>
      </c>
      <c r="N25">
        <v>7067</v>
      </c>
    </row>
    <row r="26" spans="1:14" x14ac:dyDescent="0.3">
      <c r="K26" t="str">
        <v>2025-05-12</v>
      </c>
      <c r="L26" t="str">
        <v>INDIA</v>
      </c>
      <c r="M26">
        <v>20</v>
      </c>
      <c r="N26">
        <v>14000</v>
      </c>
    </row>
    <row r="27" spans="1:14" x14ac:dyDescent="0.3">
      <c r="K27" t="str">
        <v>2015-01-28</v>
      </c>
      <c r="L27" t="str">
        <v>UK</v>
      </c>
      <c r="M27">
        <v>24</v>
      </c>
      <c r="N27">
        <v>9991</v>
      </c>
    </row>
    <row r="28" spans="1:14" x14ac:dyDescent="0.3">
      <c r="K28" t="str">
        <v>2015-01-27</v>
      </c>
      <c r="L28" t="str">
        <v>UK</v>
      </c>
      <c r="M28">
        <v>26</v>
      </c>
      <c r="N28">
        <v>7904</v>
      </c>
    </row>
    <row r="29" spans="1:14" x14ac:dyDescent="0.3">
      <c r="K29" t="str">
        <v>2015-01-04</v>
      </c>
      <c r="L29" t="str">
        <v>UK</v>
      </c>
      <c r="M29">
        <v>6</v>
      </c>
      <c r="N29">
        <v>12533</v>
      </c>
    </row>
    <row r="30" spans="1:14" x14ac:dyDescent="0.3">
      <c r="K30" t="str">
        <v>2015-01-03</v>
      </c>
      <c r="L30" t="str">
        <v>UK</v>
      </c>
      <c r="M30">
        <v>23</v>
      </c>
      <c r="N30">
        <v>11224</v>
      </c>
    </row>
  </sheetData>
  <dataValidations count="1">
    <dataValidation type="list" allowBlank="1" showInputMessage="1" showErrorMessage="1" sqref="M2" xr:uid="{C20C0FB1-C3C7-4959-A18E-108F81CBB3C0}">
      <formula1>$R$3:$R$9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pathak</cp:lastModifiedBy>
  <dcterms:created xsi:type="dcterms:W3CDTF">2026-05-26T08:15:18Z</dcterms:created>
  <dcterms:modified xsi:type="dcterms:W3CDTF">2026-05-27T16:06:29Z</dcterms:modified>
</cp:coreProperties>
</file>