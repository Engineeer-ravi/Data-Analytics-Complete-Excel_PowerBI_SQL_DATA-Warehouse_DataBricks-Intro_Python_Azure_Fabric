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vip\OneDrive\Desktop\EXCEL ANALYSIS\EXCEL\"/>
    </mc:Choice>
  </mc:AlternateContent>
  <xr:revisionPtr revIDLastSave="0" documentId="13_ncr:1_{6A0C6022-B4C3-4114-9505-2EE064665EC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ales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" i="1" l="1" a="1"/>
  <c r="AM2" i="1" s="1"/>
  <c r="AH2" i="1" a="1"/>
  <c r="AH2" i="1" s="1"/>
  <c r="AC2" i="1" a="1"/>
  <c r="AC2" i="1" s="1"/>
  <c r="X2" i="1" a="1"/>
  <c r="X2" i="1" s="1"/>
  <c r="R2" i="1" a="1"/>
  <c r="R2" i="1" s="1"/>
  <c r="M2" i="1" a="1"/>
  <c r="M2" i="1" s="1"/>
  <c r="H2" i="1" a="1"/>
  <c r="H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<sst xmlns="http://schemas.openxmlformats.org/spreadsheetml/2006/main" count="42" uniqueCount="22">
  <si>
    <t>DATE</t>
  </si>
  <si>
    <t>COUNTRY</t>
  </si>
  <si>
    <t>PRODUCTKEY</t>
  </si>
  <si>
    <t>SALES</t>
  </si>
  <si>
    <t>2015-02-04</t>
  </si>
  <si>
    <t>GERMANY</t>
  </si>
  <si>
    <t>2015-01-28</t>
  </si>
  <si>
    <t>UK</t>
  </si>
  <si>
    <t>2015-01-27</t>
  </si>
  <si>
    <t>2015-01-23</t>
  </si>
  <si>
    <t>US</t>
  </si>
  <si>
    <t>INDIA</t>
  </si>
  <si>
    <t>2015-01-22</t>
  </si>
  <si>
    <t>2015-01-18</t>
  </si>
  <si>
    <t>2015-01-13</t>
  </si>
  <si>
    <t>2015-01-09</t>
  </si>
  <si>
    <t>2015-01-05</t>
  </si>
  <si>
    <t>2015-01-04</t>
  </si>
  <si>
    <t>2015-01-03</t>
  </si>
  <si>
    <t>2015-01-02</t>
  </si>
  <si>
    <t>2015-01-01</t>
  </si>
  <si>
    <t>2025-05-12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</si>
</sst>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ACF497-AC43-4023-A58A-B79FEDFC19A5}" name="Table1" displayName="Table1" ref="A1:D20" totalsRowShown="0" headerRowDxfId="0">
  <autoFilter ref="A1:D20" xr:uid="{EBACF497-AC43-4023-A58A-B79FEDFC19A5}"/>
  <tableColumns count="4">
    <tableColumn id="1" xr3:uid="{905B2071-48B8-4819-A294-692148CD97E1}" name="DATE"/>
    <tableColumn id="2" xr3:uid="{D98E525A-6EF8-4258-989A-2BAE967031F1}" name="COUNTRY"/>
    <tableColumn id="3" xr3:uid="{57CB5351-EE4C-4240-8D02-0229D278452C}" name="PRODUCTKEY"/>
    <tableColumn id="4" xr3:uid="{9379848D-CED5-4B51-B130-CD7CAF02D9BA}" name="SAL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0"/>
  <sheetViews>
    <sheetView tabSelected="1" workbookViewId="0">
      <selection activeCell="AM3" sqref="AM3"/>
    </sheetView>
  </sheetViews>
  <sheetFormatPr defaultRowHeight="14.4" x14ac:dyDescent="0.3"/>
  <cols>
    <col min="1" max="1" width="12.77734375" customWidth="1"/>
    <col min="2" max="2" width="11.109375" customWidth="1"/>
    <col min="3" max="3" width="14.6640625" customWidth="1"/>
    <col min="4" max="4" width="12.88671875" customWidth="1"/>
    <col min="8" max="8" width="12" customWidth="1"/>
    <col min="9" max="9" width="11.33203125" customWidth="1"/>
    <col min="10" max="10" width="10.21875" customWidth="1"/>
    <col min="11" max="11" width="11" customWidth="1"/>
    <col min="13" max="13" width="11.33203125" customWidth="1"/>
    <col min="24" max="24" width="12.109375" customWidth="1"/>
    <col min="25" max="25" width="10.88671875" customWidth="1"/>
    <col min="26" max="26" width="13.44140625" customWidth="1"/>
    <col min="29" max="29" width="13.77734375" customWidth="1"/>
    <col min="34" max="34" width="12.5546875" customWidth="1"/>
    <col min="35" max="35" width="11" customWidth="1"/>
  </cols>
  <sheetData>
    <row r="1" spans="1:42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2" x14ac:dyDescent="0.3">
      <c r="A2" t="s">
        <v>4</v>
      </c>
      <c r="B2" t="s">
        <v>5</v>
      </c>
      <c r="C2">
        <v>7</v>
      </c>
      <c r="D2">
        <v>1850</v>
      </c>
      <c r="H2" t="str" cm="1">
        <f t="array" ref="H2:K20">_xlfn._xlws.SORT(A2:D20)</f>
        <v>2015-01-01</v>
      </c>
      <c r="I2" t="str">
        <v>INDIA</v>
      </c>
      <c r="J2">
        <v>10</v>
      </c>
      <c r="K2">
        <v>7067</v>
      </c>
      <c r="M2" t="str" cm="1">
        <f t="array" ref="M2:P20">_xlfn._xlws.SORT(A2:D20,2,1)</f>
        <v>2015-02-04</v>
      </c>
      <c r="N2" t="str">
        <v>GERMANY</v>
      </c>
      <c r="O2">
        <v>7</v>
      </c>
      <c r="P2">
        <v>1850</v>
      </c>
      <c r="R2" t="str" cm="1">
        <f t="array" ref="R2:U20">_xlfn._xlws.SORT(A2:D20,4,-1,TRUE)</f>
        <v>GERMANY</v>
      </c>
      <c r="S2" t="str">
        <v>2015-02-04</v>
      </c>
      <c r="T2">
        <v>1850</v>
      </c>
      <c r="U2">
        <v>7</v>
      </c>
      <c r="X2" t="str" cm="1">
        <f t="array" ref="X2:AA20">_xlfn.SORTBY(A2:D20,D2:D20,1)</f>
        <v>2015-02-04</v>
      </c>
      <c r="Y2" t="str">
        <v>GERMANY</v>
      </c>
      <c r="Z2">
        <v>7</v>
      </c>
      <c r="AA2">
        <v>1850</v>
      </c>
      <c r="AC2" t="str" cm="1">
        <f t="array" ref="AC2:AF20">_xlfn.SORTBY(A2:D20,B2:B20,1,D2:D20,-1)</f>
        <v>2015-01-02</v>
      </c>
      <c r="AD2" t="str">
        <v>GERMANY</v>
      </c>
      <c r="AE2">
        <v>6</v>
      </c>
      <c r="AF2">
        <v>10057</v>
      </c>
      <c r="AH2" t="str" cm="1">
        <f t="array" ref="AH2:AK20">_xlfn._xlws.SORT(A2:D20,{2,4},{1,-1})</f>
        <v>2015-01-02</v>
      </c>
      <c r="AI2" t="str">
        <v>GERMANY</v>
      </c>
      <c r="AJ2">
        <v>6</v>
      </c>
      <c r="AK2">
        <v>10057</v>
      </c>
      <c r="AM2" t="str" cm="1">
        <f t="array" ref="AM2:AP20">_xlfn._xlws.SORT(Table1[],4,-1)</f>
        <v>2025-05-12</v>
      </c>
      <c r="AN2" t="str">
        <v>INDIA</v>
      </c>
      <c r="AO2">
        <v>20</v>
      </c>
      <c r="AP2">
        <v>14000</v>
      </c>
    </row>
    <row r="3" spans="1:42" x14ac:dyDescent="0.3">
      <c r="A3" t="s">
        <v>6</v>
      </c>
      <c r="B3" t="s">
        <v>7</v>
      </c>
      <c r="C3">
        <v>24</v>
      </c>
      <c r="D3">
        <v>9991</v>
      </c>
      <c r="H3" t="str">
        <v>2015-01-02</v>
      </c>
      <c r="I3" t="str">
        <v>GERMANY</v>
      </c>
      <c r="J3">
        <v>6</v>
      </c>
      <c r="K3">
        <v>10057</v>
      </c>
      <c r="M3" t="str">
        <v>2015-01-09</v>
      </c>
      <c r="N3" t="str">
        <v>GERMANY</v>
      </c>
      <c r="O3">
        <v>7</v>
      </c>
      <c r="P3">
        <v>6971</v>
      </c>
      <c r="R3" t="str">
        <v>UK</v>
      </c>
      <c r="S3" t="str">
        <v>2015-01-28</v>
      </c>
      <c r="T3">
        <v>9991</v>
      </c>
      <c r="U3">
        <v>24</v>
      </c>
      <c r="X3" t="str">
        <v>2015-01-23</v>
      </c>
      <c r="Y3" t="str">
        <v>US</v>
      </c>
      <c r="Z3">
        <v>11</v>
      </c>
      <c r="AA3">
        <v>3502</v>
      </c>
      <c r="AC3" t="str">
        <v>2015-01-09</v>
      </c>
      <c r="AD3" t="str">
        <v>GERMANY</v>
      </c>
      <c r="AE3">
        <v>7</v>
      </c>
      <c r="AF3">
        <v>6971</v>
      </c>
      <c r="AH3" t="str">
        <v>2015-01-09</v>
      </c>
      <c r="AI3" t="str">
        <v>GERMANY</v>
      </c>
      <c r="AJ3">
        <v>7</v>
      </c>
      <c r="AK3">
        <v>6971</v>
      </c>
      <c r="AM3" t="str">
        <v>2015-01-04</v>
      </c>
      <c r="AN3" t="str">
        <v>UK</v>
      </c>
      <c r="AO3">
        <v>6</v>
      </c>
      <c r="AP3">
        <v>12533</v>
      </c>
    </row>
    <row r="4" spans="1:42" x14ac:dyDescent="0.3">
      <c r="A4" t="s">
        <v>8</v>
      </c>
      <c r="B4" t="s">
        <v>7</v>
      </c>
      <c r="C4">
        <v>26</v>
      </c>
      <c r="D4">
        <v>7904</v>
      </c>
      <c r="H4" t="str">
        <v>2015-01-02</v>
      </c>
      <c r="I4" t="str">
        <v>INDIA</v>
      </c>
      <c r="J4">
        <v>4</v>
      </c>
      <c r="K4">
        <v>10574</v>
      </c>
      <c r="M4" t="str">
        <v>2015-01-02</v>
      </c>
      <c r="N4" t="str">
        <v>GERMANY</v>
      </c>
      <c r="O4">
        <v>6</v>
      </c>
      <c r="P4">
        <v>10057</v>
      </c>
      <c r="R4" t="str">
        <v>UK</v>
      </c>
      <c r="S4" t="str">
        <v>2015-01-27</v>
      </c>
      <c r="T4">
        <v>7904</v>
      </c>
      <c r="U4">
        <v>26</v>
      </c>
      <c r="X4" t="str">
        <v>2015-01-23</v>
      </c>
      <c r="Y4" t="str">
        <v>INDIA</v>
      </c>
      <c r="Z4">
        <v>6</v>
      </c>
      <c r="AA4">
        <v>3629</v>
      </c>
      <c r="AC4" t="str">
        <v>2015-02-04</v>
      </c>
      <c r="AD4" t="str">
        <v>GERMANY</v>
      </c>
      <c r="AE4">
        <v>7</v>
      </c>
      <c r="AF4">
        <v>1850</v>
      </c>
      <c r="AH4" t="str">
        <v>2015-02-04</v>
      </c>
      <c r="AI4" t="str">
        <v>GERMANY</v>
      </c>
      <c r="AJ4">
        <v>7</v>
      </c>
      <c r="AK4">
        <v>1850</v>
      </c>
      <c r="AM4" t="str">
        <v>2015-01-03</v>
      </c>
      <c r="AN4" t="str">
        <v>UK</v>
      </c>
      <c r="AO4">
        <v>23</v>
      </c>
      <c r="AP4">
        <v>11224</v>
      </c>
    </row>
    <row r="5" spans="1:42" x14ac:dyDescent="0.3">
      <c r="A5" t="s">
        <v>9</v>
      </c>
      <c r="B5" t="s">
        <v>10</v>
      </c>
      <c r="C5">
        <v>11</v>
      </c>
      <c r="D5">
        <v>3502</v>
      </c>
      <c r="H5" t="str">
        <v>2015-01-03</v>
      </c>
      <c r="I5" t="str">
        <v>UK</v>
      </c>
      <c r="J5">
        <v>23</v>
      </c>
      <c r="K5">
        <v>11224</v>
      </c>
      <c r="M5" t="str">
        <v>2015-01-23</v>
      </c>
      <c r="N5" t="str">
        <v>INDIA</v>
      </c>
      <c r="O5">
        <v>6</v>
      </c>
      <c r="P5">
        <v>3629</v>
      </c>
      <c r="R5" t="str">
        <v>US</v>
      </c>
      <c r="S5" t="str">
        <v>2015-01-23</v>
      </c>
      <c r="T5">
        <v>3502</v>
      </c>
      <c r="U5">
        <v>11</v>
      </c>
      <c r="X5" t="str">
        <v>2015-01-13</v>
      </c>
      <c r="Y5" t="str">
        <v>INDIA</v>
      </c>
      <c r="Z5">
        <v>7</v>
      </c>
      <c r="AA5">
        <v>4096</v>
      </c>
      <c r="AC5" t="str">
        <v>2025-05-12</v>
      </c>
      <c r="AD5" t="str">
        <v>INDIA</v>
      </c>
      <c r="AE5">
        <v>20</v>
      </c>
      <c r="AF5">
        <v>14000</v>
      </c>
      <c r="AH5" t="str">
        <v>2025-05-12</v>
      </c>
      <c r="AI5" t="str">
        <v>INDIA</v>
      </c>
      <c r="AJ5">
        <v>20</v>
      </c>
      <c r="AK5">
        <v>14000</v>
      </c>
      <c r="AM5" t="str">
        <v>2015-01-04</v>
      </c>
      <c r="AN5" t="str">
        <v>INDIA</v>
      </c>
      <c r="AO5">
        <v>6</v>
      </c>
      <c r="AP5">
        <v>11089</v>
      </c>
    </row>
    <row r="6" spans="1:42" x14ac:dyDescent="0.3">
      <c r="A6" t="s">
        <v>9</v>
      </c>
      <c r="B6" t="s">
        <v>11</v>
      </c>
      <c r="C6">
        <v>6</v>
      </c>
      <c r="D6">
        <v>3629</v>
      </c>
      <c r="H6" t="str">
        <v>2015-01-04</v>
      </c>
      <c r="I6" t="str">
        <v>UK</v>
      </c>
      <c r="J6">
        <v>6</v>
      </c>
      <c r="K6">
        <v>12533</v>
      </c>
      <c r="M6" t="str">
        <v>2015-01-18</v>
      </c>
      <c r="N6" t="str">
        <v>INDIA</v>
      </c>
      <c r="O6">
        <v>21</v>
      </c>
      <c r="P6">
        <v>10060</v>
      </c>
      <c r="R6" t="str">
        <v>INDIA</v>
      </c>
      <c r="S6" t="str">
        <v>2015-01-23</v>
      </c>
      <c r="T6">
        <v>3629</v>
      </c>
      <c r="U6">
        <v>6</v>
      </c>
      <c r="X6" t="str">
        <v>2015-01-09</v>
      </c>
      <c r="Y6" t="str">
        <v>GERMANY</v>
      </c>
      <c r="Z6">
        <v>7</v>
      </c>
      <c r="AA6">
        <v>6971</v>
      </c>
      <c r="AC6" t="str">
        <v>2015-01-04</v>
      </c>
      <c r="AD6" t="str">
        <v>INDIA</v>
      </c>
      <c r="AE6">
        <v>6</v>
      </c>
      <c r="AF6">
        <v>11089</v>
      </c>
      <c r="AH6" t="str">
        <v>2015-01-04</v>
      </c>
      <c r="AI6" t="str">
        <v>INDIA</v>
      </c>
      <c r="AJ6">
        <v>6</v>
      </c>
      <c r="AK6">
        <v>11089</v>
      </c>
      <c r="AM6" t="str">
        <v>2015-01-22</v>
      </c>
      <c r="AN6" t="str">
        <v>US</v>
      </c>
      <c r="AO6">
        <v>9</v>
      </c>
      <c r="AP6">
        <v>10697</v>
      </c>
    </row>
    <row r="7" spans="1:42" x14ac:dyDescent="0.3">
      <c r="A7" t="s">
        <v>12</v>
      </c>
      <c r="B7" t="s">
        <v>10</v>
      </c>
      <c r="C7">
        <v>23</v>
      </c>
      <c r="D7">
        <v>8868</v>
      </c>
      <c r="H7" t="str">
        <v>2015-01-04</v>
      </c>
      <c r="I7" t="str">
        <v>INDIA</v>
      </c>
      <c r="J7">
        <v>6</v>
      </c>
      <c r="K7">
        <v>11089</v>
      </c>
      <c r="M7" t="str">
        <v>2015-01-13</v>
      </c>
      <c r="N7" t="str">
        <v>INDIA</v>
      </c>
      <c r="O7">
        <v>7</v>
      </c>
      <c r="P7">
        <v>4096</v>
      </c>
      <c r="R7" t="str">
        <v>US</v>
      </c>
      <c r="S7" t="str">
        <v>2015-01-22</v>
      </c>
      <c r="T7">
        <v>8868</v>
      </c>
      <c r="U7">
        <v>23</v>
      </c>
      <c r="X7" t="str">
        <v>2015-01-01</v>
      </c>
      <c r="Y7" t="str">
        <v>INDIA</v>
      </c>
      <c r="Z7">
        <v>10</v>
      </c>
      <c r="AA7">
        <v>7067</v>
      </c>
      <c r="AC7" t="str">
        <v>2015-01-02</v>
      </c>
      <c r="AD7" t="str">
        <v>INDIA</v>
      </c>
      <c r="AE7">
        <v>4</v>
      </c>
      <c r="AF7">
        <v>10574</v>
      </c>
      <c r="AH7" t="str">
        <v>2015-01-02</v>
      </c>
      <c r="AI7" t="str">
        <v>INDIA</v>
      </c>
      <c r="AJ7">
        <v>4</v>
      </c>
      <c r="AK7">
        <v>10574</v>
      </c>
      <c r="AM7" t="str">
        <v>2015-01-02</v>
      </c>
      <c r="AN7" t="str">
        <v>INDIA</v>
      </c>
      <c r="AO7">
        <v>4</v>
      </c>
      <c r="AP7">
        <v>10574</v>
      </c>
    </row>
    <row r="8" spans="1:42" x14ac:dyDescent="0.3">
      <c r="A8" t="s">
        <v>12</v>
      </c>
      <c r="B8" t="s">
        <v>10</v>
      </c>
      <c r="C8">
        <v>9</v>
      </c>
      <c r="D8">
        <v>10697</v>
      </c>
      <c r="H8" t="str">
        <v>2015-01-05</v>
      </c>
      <c r="I8" t="str">
        <v>INDIA</v>
      </c>
      <c r="J8">
        <v>4</v>
      </c>
      <c r="K8">
        <v>7717</v>
      </c>
      <c r="M8" t="str">
        <v>2015-01-05</v>
      </c>
      <c r="N8" t="str">
        <v>INDIA</v>
      </c>
      <c r="O8">
        <v>4</v>
      </c>
      <c r="P8">
        <v>7717</v>
      </c>
      <c r="R8" t="str">
        <v>US</v>
      </c>
      <c r="S8" t="str">
        <v>2015-01-22</v>
      </c>
      <c r="T8">
        <v>10697</v>
      </c>
      <c r="U8">
        <v>9</v>
      </c>
      <c r="X8" t="str">
        <v>2015-01-13</v>
      </c>
      <c r="Y8" t="str">
        <v>US</v>
      </c>
      <c r="Z8">
        <v>12</v>
      </c>
      <c r="AA8">
        <v>7368</v>
      </c>
      <c r="AC8" t="str">
        <v>2015-01-18</v>
      </c>
      <c r="AD8" t="str">
        <v>INDIA</v>
      </c>
      <c r="AE8">
        <v>21</v>
      </c>
      <c r="AF8">
        <v>10060</v>
      </c>
      <c r="AH8" t="str">
        <v>2015-01-18</v>
      </c>
      <c r="AI8" t="str">
        <v>INDIA</v>
      </c>
      <c r="AJ8">
        <v>21</v>
      </c>
      <c r="AK8">
        <v>10060</v>
      </c>
      <c r="AM8" t="str">
        <v>2015-01-18</v>
      </c>
      <c r="AN8" t="str">
        <v>INDIA</v>
      </c>
      <c r="AO8">
        <v>21</v>
      </c>
      <c r="AP8">
        <v>10060</v>
      </c>
    </row>
    <row r="9" spans="1:42" x14ac:dyDescent="0.3">
      <c r="A9" t="s">
        <v>13</v>
      </c>
      <c r="B9" t="s">
        <v>11</v>
      </c>
      <c r="C9">
        <v>21</v>
      </c>
      <c r="D9">
        <v>10060</v>
      </c>
      <c r="H9" t="str">
        <v>2015-01-09</v>
      </c>
      <c r="I9" t="str">
        <v>GERMANY</v>
      </c>
      <c r="J9">
        <v>7</v>
      </c>
      <c r="K9">
        <v>6971</v>
      </c>
      <c r="M9" t="str">
        <v>2015-01-04</v>
      </c>
      <c r="N9" t="str">
        <v>INDIA</v>
      </c>
      <c r="O9">
        <v>6</v>
      </c>
      <c r="P9">
        <v>11089</v>
      </c>
      <c r="R9" t="str">
        <v>INDIA</v>
      </c>
      <c r="S9" t="str">
        <v>2015-01-18</v>
      </c>
      <c r="T9">
        <v>10060</v>
      </c>
      <c r="U9">
        <v>21</v>
      </c>
      <c r="X9" t="str">
        <v>2015-01-05</v>
      </c>
      <c r="Y9" t="str">
        <v>INDIA</v>
      </c>
      <c r="Z9">
        <v>4</v>
      </c>
      <c r="AA9">
        <v>7717</v>
      </c>
      <c r="AC9" t="str">
        <v>2015-01-05</v>
      </c>
      <c r="AD9" t="str">
        <v>INDIA</v>
      </c>
      <c r="AE9">
        <v>4</v>
      </c>
      <c r="AF9">
        <v>7717</v>
      </c>
      <c r="AH9" t="str">
        <v>2015-01-05</v>
      </c>
      <c r="AI9" t="str">
        <v>INDIA</v>
      </c>
      <c r="AJ9">
        <v>4</v>
      </c>
      <c r="AK9">
        <v>7717</v>
      </c>
      <c r="AM9" t="str">
        <v>2015-01-02</v>
      </c>
      <c r="AN9" t="str">
        <v>GERMANY</v>
      </c>
      <c r="AO9">
        <v>6</v>
      </c>
      <c r="AP9">
        <v>10057</v>
      </c>
    </row>
    <row r="10" spans="1:42" x14ac:dyDescent="0.3">
      <c r="A10" t="s">
        <v>14</v>
      </c>
      <c r="B10" t="s">
        <v>11</v>
      </c>
      <c r="C10">
        <v>7</v>
      </c>
      <c r="D10">
        <v>4096</v>
      </c>
      <c r="H10" t="str">
        <v>2015-01-13</v>
      </c>
      <c r="I10" t="str">
        <v>INDIA</v>
      </c>
      <c r="J10">
        <v>7</v>
      </c>
      <c r="K10">
        <v>4096</v>
      </c>
      <c r="M10" t="str">
        <v>2015-01-02</v>
      </c>
      <c r="N10" t="str">
        <v>INDIA</v>
      </c>
      <c r="O10">
        <v>4</v>
      </c>
      <c r="P10">
        <v>10574</v>
      </c>
      <c r="R10" t="str">
        <v>INDIA</v>
      </c>
      <c r="S10" t="str">
        <v>2015-01-13</v>
      </c>
      <c r="T10">
        <v>4096</v>
      </c>
      <c r="U10">
        <v>7</v>
      </c>
      <c r="X10" t="str">
        <v>2015-01-27</v>
      </c>
      <c r="Y10" t="str">
        <v>UK</v>
      </c>
      <c r="Z10">
        <v>26</v>
      </c>
      <c r="AA10">
        <v>7904</v>
      </c>
      <c r="AC10" t="str">
        <v>2015-01-01</v>
      </c>
      <c r="AD10" t="str">
        <v>INDIA</v>
      </c>
      <c r="AE10">
        <v>10</v>
      </c>
      <c r="AF10">
        <v>7067</v>
      </c>
      <c r="AH10" t="str">
        <v>2015-01-01</v>
      </c>
      <c r="AI10" t="str">
        <v>INDIA</v>
      </c>
      <c r="AJ10">
        <v>10</v>
      </c>
      <c r="AK10">
        <v>7067</v>
      </c>
      <c r="AM10" t="str">
        <v>2015-01-28</v>
      </c>
      <c r="AN10" t="str">
        <v>UK</v>
      </c>
      <c r="AO10">
        <v>24</v>
      </c>
      <c r="AP10">
        <v>9991</v>
      </c>
    </row>
    <row r="11" spans="1:42" x14ac:dyDescent="0.3">
      <c r="A11" t="s">
        <v>14</v>
      </c>
      <c r="B11" t="s">
        <v>10</v>
      </c>
      <c r="C11">
        <v>12</v>
      </c>
      <c r="D11">
        <v>7368</v>
      </c>
      <c r="H11" t="str">
        <v>2015-01-13</v>
      </c>
      <c r="I11" t="str">
        <v>US</v>
      </c>
      <c r="J11">
        <v>12</v>
      </c>
      <c r="K11">
        <v>7368</v>
      </c>
      <c r="M11" t="str">
        <v>2015-01-01</v>
      </c>
      <c r="N11" t="str">
        <v>INDIA</v>
      </c>
      <c r="O11">
        <v>10</v>
      </c>
      <c r="P11">
        <v>7067</v>
      </c>
      <c r="R11" t="str">
        <v>US</v>
      </c>
      <c r="S11" t="str">
        <v>2015-01-13</v>
      </c>
      <c r="T11">
        <v>7368</v>
      </c>
      <c r="U11">
        <v>12</v>
      </c>
      <c r="X11" t="str">
        <v>2015-01-22</v>
      </c>
      <c r="Y11" t="str">
        <v>US</v>
      </c>
      <c r="Z11">
        <v>23</v>
      </c>
      <c r="AA11">
        <v>8868</v>
      </c>
      <c r="AC11" t="str">
        <v>2015-01-13</v>
      </c>
      <c r="AD11" t="str">
        <v>INDIA</v>
      </c>
      <c r="AE11">
        <v>7</v>
      </c>
      <c r="AF11">
        <v>4096</v>
      </c>
      <c r="AH11" t="str">
        <v>2015-01-13</v>
      </c>
      <c r="AI11" t="str">
        <v>INDIA</v>
      </c>
      <c r="AJ11">
        <v>7</v>
      </c>
      <c r="AK11">
        <v>4096</v>
      </c>
      <c r="AM11" t="str">
        <v>2015-01-22</v>
      </c>
      <c r="AN11" t="str">
        <v>US</v>
      </c>
      <c r="AO11">
        <v>23</v>
      </c>
      <c r="AP11">
        <v>8868</v>
      </c>
    </row>
    <row r="12" spans="1:42" x14ac:dyDescent="0.3">
      <c r="A12" t="s">
        <v>15</v>
      </c>
      <c r="B12" t="s">
        <v>5</v>
      </c>
      <c r="C12">
        <v>7</v>
      </c>
      <c r="D12">
        <v>6971</v>
      </c>
      <c r="H12" t="str">
        <v>2015-01-18</v>
      </c>
      <c r="I12" t="str">
        <v>INDIA</v>
      </c>
      <c r="J12">
        <v>21</v>
      </c>
      <c r="K12">
        <v>10060</v>
      </c>
      <c r="M12" t="str">
        <v>2025-05-12</v>
      </c>
      <c r="N12" t="str">
        <v>INDIA</v>
      </c>
      <c r="O12">
        <v>20</v>
      </c>
      <c r="P12">
        <v>14000</v>
      </c>
      <c r="R12" t="str">
        <v>GERMANY</v>
      </c>
      <c r="S12" t="str">
        <v>2015-01-09</v>
      </c>
      <c r="T12">
        <v>6971</v>
      </c>
      <c r="U12">
        <v>7</v>
      </c>
      <c r="X12" t="str">
        <v>2015-01-28</v>
      </c>
      <c r="Y12" t="str">
        <v>UK</v>
      </c>
      <c r="Z12">
        <v>24</v>
      </c>
      <c r="AA12">
        <v>9991</v>
      </c>
      <c r="AC12" t="str">
        <v>2015-01-23</v>
      </c>
      <c r="AD12" t="str">
        <v>INDIA</v>
      </c>
      <c r="AE12">
        <v>6</v>
      </c>
      <c r="AF12">
        <v>3629</v>
      </c>
      <c r="AH12" t="str">
        <v>2015-01-23</v>
      </c>
      <c r="AI12" t="str">
        <v>INDIA</v>
      </c>
      <c r="AJ12">
        <v>6</v>
      </c>
      <c r="AK12">
        <v>3629</v>
      </c>
      <c r="AM12" t="str">
        <v>2015-01-27</v>
      </c>
      <c r="AN12" t="str">
        <v>UK</v>
      </c>
      <c r="AO12">
        <v>26</v>
      </c>
      <c r="AP12">
        <v>7904</v>
      </c>
    </row>
    <row r="13" spans="1:42" x14ac:dyDescent="0.3">
      <c r="A13" t="s">
        <v>16</v>
      </c>
      <c r="B13" t="s">
        <v>11</v>
      </c>
      <c r="C13">
        <v>4</v>
      </c>
      <c r="D13">
        <v>7717</v>
      </c>
      <c r="H13" t="str">
        <v>2015-01-22</v>
      </c>
      <c r="I13" t="str">
        <v>US</v>
      </c>
      <c r="J13">
        <v>23</v>
      </c>
      <c r="K13">
        <v>8868</v>
      </c>
      <c r="M13" t="str">
        <v>2015-01-28</v>
      </c>
      <c r="N13" t="str">
        <v>UK</v>
      </c>
      <c r="O13">
        <v>24</v>
      </c>
      <c r="P13">
        <v>9991</v>
      </c>
      <c r="R13" t="str">
        <v>INDIA</v>
      </c>
      <c r="S13" t="str">
        <v>2015-01-05</v>
      </c>
      <c r="T13">
        <v>7717</v>
      </c>
      <c r="U13">
        <v>4</v>
      </c>
      <c r="X13" t="str">
        <v>2015-01-02</v>
      </c>
      <c r="Y13" t="str">
        <v>GERMANY</v>
      </c>
      <c r="Z13">
        <v>6</v>
      </c>
      <c r="AA13">
        <v>10057</v>
      </c>
      <c r="AC13" t="str">
        <v>2015-01-04</v>
      </c>
      <c r="AD13" t="str">
        <v>UK</v>
      </c>
      <c r="AE13">
        <v>6</v>
      </c>
      <c r="AF13">
        <v>12533</v>
      </c>
      <c r="AH13" t="str">
        <v>2015-01-04</v>
      </c>
      <c r="AI13" t="str">
        <v>UK</v>
      </c>
      <c r="AJ13">
        <v>6</v>
      </c>
      <c r="AK13">
        <v>12533</v>
      </c>
      <c r="AM13" t="str">
        <v>2015-01-05</v>
      </c>
      <c r="AN13" t="str">
        <v>INDIA</v>
      </c>
      <c r="AO13">
        <v>4</v>
      </c>
      <c r="AP13">
        <v>7717</v>
      </c>
    </row>
    <row r="14" spans="1:42" x14ac:dyDescent="0.3">
      <c r="A14" t="s">
        <v>17</v>
      </c>
      <c r="B14" t="s">
        <v>7</v>
      </c>
      <c r="C14">
        <v>6</v>
      </c>
      <c r="D14">
        <v>12533</v>
      </c>
      <c r="H14" t="str">
        <v>2015-01-22</v>
      </c>
      <c r="I14" t="str">
        <v>US</v>
      </c>
      <c r="J14">
        <v>9</v>
      </c>
      <c r="K14">
        <v>10697</v>
      </c>
      <c r="M14" t="str">
        <v>2015-01-27</v>
      </c>
      <c r="N14" t="str">
        <v>UK</v>
      </c>
      <c r="O14">
        <v>26</v>
      </c>
      <c r="P14">
        <v>7904</v>
      </c>
      <c r="R14" t="str">
        <v>UK</v>
      </c>
      <c r="S14" t="str">
        <v>2015-01-04</v>
      </c>
      <c r="T14">
        <v>12533</v>
      </c>
      <c r="U14">
        <v>6</v>
      </c>
      <c r="X14" t="str">
        <v>2015-01-18</v>
      </c>
      <c r="Y14" t="str">
        <v>INDIA</v>
      </c>
      <c r="Z14">
        <v>21</v>
      </c>
      <c r="AA14">
        <v>10060</v>
      </c>
      <c r="AC14" t="str">
        <v>2015-01-03</v>
      </c>
      <c r="AD14" t="str">
        <v>UK</v>
      </c>
      <c r="AE14">
        <v>23</v>
      </c>
      <c r="AF14">
        <v>11224</v>
      </c>
      <c r="AH14" t="str">
        <v>2015-01-03</v>
      </c>
      <c r="AI14" t="str">
        <v>UK</v>
      </c>
      <c r="AJ14">
        <v>23</v>
      </c>
      <c r="AK14">
        <v>11224</v>
      </c>
      <c r="AM14" t="str">
        <v>2015-01-13</v>
      </c>
      <c r="AN14" t="str">
        <v>US</v>
      </c>
      <c r="AO14">
        <v>12</v>
      </c>
      <c r="AP14">
        <v>7368</v>
      </c>
    </row>
    <row r="15" spans="1:42" x14ac:dyDescent="0.3">
      <c r="A15" t="s">
        <v>17</v>
      </c>
      <c r="B15" t="s">
        <v>11</v>
      </c>
      <c r="C15">
        <v>6</v>
      </c>
      <c r="D15">
        <v>11089</v>
      </c>
      <c r="H15" t="str">
        <v>2015-01-23</v>
      </c>
      <c r="I15" t="str">
        <v>US</v>
      </c>
      <c r="J15">
        <v>11</v>
      </c>
      <c r="K15">
        <v>3502</v>
      </c>
      <c r="M15" t="str">
        <v>2015-01-04</v>
      </c>
      <c r="N15" t="str">
        <v>UK</v>
      </c>
      <c r="O15">
        <v>6</v>
      </c>
      <c r="P15">
        <v>12533</v>
      </c>
      <c r="R15" t="str">
        <v>INDIA</v>
      </c>
      <c r="S15" t="str">
        <v>2015-01-04</v>
      </c>
      <c r="T15">
        <v>11089</v>
      </c>
      <c r="U15">
        <v>6</v>
      </c>
      <c r="X15" t="str">
        <v>2015-01-02</v>
      </c>
      <c r="Y15" t="str">
        <v>INDIA</v>
      </c>
      <c r="Z15">
        <v>4</v>
      </c>
      <c r="AA15">
        <v>10574</v>
      </c>
      <c r="AC15" t="str">
        <v>2015-01-28</v>
      </c>
      <c r="AD15" t="str">
        <v>UK</v>
      </c>
      <c r="AE15">
        <v>24</v>
      </c>
      <c r="AF15">
        <v>9991</v>
      </c>
      <c r="AH15" t="str">
        <v>2015-01-28</v>
      </c>
      <c r="AI15" t="str">
        <v>UK</v>
      </c>
      <c r="AJ15">
        <v>24</v>
      </c>
      <c r="AK15">
        <v>9991</v>
      </c>
      <c r="AM15" t="str">
        <v>2015-01-01</v>
      </c>
      <c r="AN15" t="str">
        <v>INDIA</v>
      </c>
      <c r="AO15">
        <v>10</v>
      </c>
      <c r="AP15">
        <v>7067</v>
      </c>
    </row>
    <row r="16" spans="1:42" x14ac:dyDescent="0.3">
      <c r="A16" t="s">
        <v>18</v>
      </c>
      <c r="B16" t="s">
        <v>7</v>
      </c>
      <c r="C16">
        <v>23</v>
      </c>
      <c r="D16">
        <v>11224</v>
      </c>
      <c r="H16" t="str">
        <v>2015-01-23</v>
      </c>
      <c r="I16" t="str">
        <v>INDIA</v>
      </c>
      <c r="J16">
        <v>6</v>
      </c>
      <c r="K16">
        <v>3629</v>
      </c>
      <c r="M16" t="str">
        <v>2015-01-03</v>
      </c>
      <c r="N16" t="str">
        <v>UK</v>
      </c>
      <c r="O16">
        <v>23</v>
      </c>
      <c r="P16">
        <v>11224</v>
      </c>
      <c r="R16" t="str">
        <v>UK</v>
      </c>
      <c r="S16" t="str">
        <v>2015-01-03</v>
      </c>
      <c r="T16">
        <v>11224</v>
      </c>
      <c r="U16">
        <v>23</v>
      </c>
      <c r="X16" t="str">
        <v>2015-01-22</v>
      </c>
      <c r="Y16" t="str">
        <v>US</v>
      </c>
      <c r="Z16">
        <v>9</v>
      </c>
      <c r="AA16">
        <v>10697</v>
      </c>
      <c r="AC16" t="str">
        <v>2015-01-27</v>
      </c>
      <c r="AD16" t="str">
        <v>UK</v>
      </c>
      <c r="AE16">
        <v>26</v>
      </c>
      <c r="AF16">
        <v>7904</v>
      </c>
      <c r="AH16" t="str">
        <v>2015-01-27</v>
      </c>
      <c r="AI16" t="str">
        <v>UK</v>
      </c>
      <c r="AJ16">
        <v>26</v>
      </c>
      <c r="AK16">
        <v>7904</v>
      </c>
      <c r="AM16" t="str">
        <v>2015-01-09</v>
      </c>
      <c r="AN16" t="str">
        <v>GERMANY</v>
      </c>
      <c r="AO16">
        <v>7</v>
      </c>
      <c r="AP16">
        <v>6971</v>
      </c>
    </row>
    <row r="17" spans="1:42" x14ac:dyDescent="0.3">
      <c r="A17" t="s">
        <v>19</v>
      </c>
      <c r="B17" t="s">
        <v>5</v>
      </c>
      <c r="C17">
        <v>6</v>
      </c>
      <c r="D17">
        <v>10057</v>
      </c>
      <c r="H17" t="str">
        <v>2015-01-27</v>
      </c>
      <c r="I17" t="str">
        <v>UK</v>
      </c>
      <c r="J17">
        <v>26</v>
      </c>
      <c r="K17">
        <v>7904</v>
      </c>
      <c r="M17" t="str">
        <v>2015-01-23</v>
      </c>
      <c r="N17" t="str">
        <v>US</v>
      </c>
      <c r="O17">
        <v>11</v>
      </c>
      <c r="P17">
        <v>3502</v>
      </c>
      <c r="R17" t="str">
        <v>GERMANY</v>
      </c>
      <c r="S17" t="str">
        <v>2015-01-02</v>
      </c>
      <c r="T17">
        <v>10057</v>
      </c>
      <c r="U17">
        <v>6</v>
      </c>
      <c r="X17" t="str">
        <v>2015-01-04</v>
      </c>
      <c r="Y17" t="str">
        <v>INDIA</v>
      </c>
      <c r="Z17">
        <v>6</v>
      </c>
      <c r="AA17">
        <v>11089</v>
      </c>
      <c r="AC17" t="str">
        <v>2015-01-22</v>
      </c>
      <c r="AD17" t="str">
        <v>US</v>
      </c>
      <c r="AE17">
        <v>9</v>
      </c>
      <c r="AF17">
        <v>10697</v>
      </c>
      <c r="AH17" t="str">
        <v>2015-01-22</v>
      </c>
      <c r="AI17" t="str">
        <v>US</v>
      </c>
      <c r="AJ17">
        <v>9</v>
      </c>
      <c r="AK17">
        <v>10697</v>
      </c>
      <c r="AM17" t="str">
        <v>2015-01-13</v>
      </c>
      <c r="AN17" t="str">
        <v>INDIA</v>
      </c>
      <c r="AO17">
        <v>7</v>
      </c>
      <c r="AP17">
        <v>4096</v>
      </c>
    </row>
    <row r="18" spans="1:42" x14ac:dyDescent="0.3">
      <c r="A18" t="s">
        <v>19</v>
      </c>
      <c r="B18" t="s">
        <v>11</v>
      </c>
      <c r="C18">
        <v>4</v>
      </c>
      <c r="D18">
        <v>10574</v>
      </c>
      <c r="H18" t="str">
        <v>2015-01-28</v>
      </c>
      <c r="I18" t="str">
        <v>UK</v>
      </c>
      <c r="J18">
        <v>24</v>
      </c>
      <c r="K18">
        <v>9991</v>
      </c>
      <c r="M18" t="str">
        <v>2015-01-22</v>
      </c>
      <c r="N18" t="str">
        <v>US</v>
      </c>
      <c r="O18">
        <v>23</v>
      </c>
      <c r="P18">
        <v>8868</v>
      </c>
      <c r="R18" t="str">
        <v>INDIA</v>
      </c>
      <c r="S18" t="str">
        <v>2015-01-02</v>
      </c>
      <c r="T18">
        <v>10574</v>
      </c>
      <c r="U18">
        <v>4</v>
      </c>
      <c r="X18" t="str">
        <v>2015-01-03</v>
      </c>
      <c r="Y18" t="str">
        <v>UK</v>
      </c>
      <c r="Z18">
        <v>23</v>
      </c>
      <c r="AA18">
        <v>11224</v>
      </c>
      <c r="AC18" t="str">
        <v>2015-01-22</v>
      </c>
      <c r="AD18" t="str">
        <v>US</v>
      </c>
      <c r="AE18">
        <v>23</v>
      </c>
      <c r="AF18">
        <v>8868</v>
      </c>
      <c r="AH18" t="str">
        <v>2015-01-22</v>
      </c>
      <c r="AI18" t="str">
        <v>US</v>
      </c>
      <c r="AJ18">
        <v>23</v>
      </c>
      <c r="AK18">
        <v>8868</v>
      </c>
      <c r="AM18" t="str">
        <v>2015-01-23</v>
      </c>
      <c r="AN18" t="str">
        <v>INDIA</v>
      </c>
      <c r="AO18">
        <v>6</v>
      </c>
      <c r="AP18">
        <v>3629</v>
      </c>
    </row>
    <row r="19" spans="1:42" x14ac:dyDescent="0.3">
      <c r="A19" t="s">
        <v>20</v>
      </c>
      <c r="B19" t="s">
        <v>11</v>
      </c>
      <c r="C19">
        <v>10</v>
      </c>
      <c r="D19">
        <v>7067</v>
      </c>
      <c r="H19" t="str">
        <v>2015-02-04</v>
      </c>
      <c r="I19" t="str">
        <v>GERMANY</v>
      </c>
      <c r="J19">
        <v>7</v>
      </c>
      <c r="K19">
        <v>1850</v>
      </c>
      <c r="M19" t="str">
        <v>2015-01-22</v>
      </c>
      <c r="N19" t="str">
        <v>US</v>
      </c>
      <c r="O19">
        <v>9</v>
      </c>
      <c r="P19">
        <v>10697</v>
      </c>
      <c r="R19" t="str">
        <v>INDIA</v>
      </c>
      <c r="S19" t="str">
        <v>2015-01-01</v>
      </c>
      <c r="T19">
        <v>7067</v>
      </c>
      <c r="U19">
        <v>10</v>
      </c>
      <c r="X19" t="str">
        <v>2015-01-04</v>
      </c>
      <c r="Y19" t="str">
        <v>UK</v>
      </c>
      <c r="Z19">
        <v>6</v>
      </c>
      <c r="AA19">
        <v>12533</v>
      </c>
      <c r="AC19" t="str">
        <v>2015-01-13</v>
      </c>
      <c r="AD19" t="str">
        <v>US</v>
      </c>
      <c r="AE19">
        <v>12</v>
      </c>
      <c r="AF19">
        <v>7368</v>
      </c>
      <c r="AH19" t="str">
        <v>2015-01-13</v>
      </c>
      <c r="AI19" t="str">
        <v>US</v>
      </c>
      <c r="AJ19">
        <v>12</v>
      </c>
      <c r="AK19">
        <v>7368</v>
      </c>
      <c r="AM19" t="str">
        <v>2015-01-23</v>
      </c>
      <c r="AN19" t="str">
        <v>US</v>
      </c>
      <c r="AO19">
        <v>11</v>
      </c>
      <c r="AP19">
        <v>3502</v>
      </c>
    </row>
    <row r="20" spans="1:42" x14ac:dyDescent="0.3">
      <c r="A20" t="s">
        <v>21</v>
      </c>
      <c r="B20" t="s">
        <v>11</v>
      </c>
      <c r="C20">
        <v>20</v>
      </c>
      <c r="D20">
        <v>14000</v>
      </c>
      <c r="H20" t="str">
        <v>2025-05-12</v>
      </c>
      <c r="I20" t="str">
        <v>INDIA</v>
      </c>
      <c r="J20">
        <v>20</v>
      </c>
      <c r="K20">
        <v>14000</v>
      </c>
      <c r="M20" t="str">
        <v>2015-01-13</v>
      </c>
      <c r="N20" t="str">
        <v>US</v>
      </c>
      <c r="O20">
        <v>12</v>
      </c>
      <c r="P20">
        <v>7368</v>
      </c>
      <c r="R20" t="str">
        <v>INDIA</v>
      </c>
      <c r="S20" t="str">
        <v>2025-05-12</v>
      </c>
      <c r="T20">
        <v>14000</v>
      </c>
      <c r="U20">
        <v>20</v>
      </c>
      <c r="X20" t="str">
        <v>2025-05-12</v>
      </c>
      <c r="Y20" t="str">
        <v>INDIA</v>
      </c>
      <c r="Z20">
        <v>20</v>
      </c>
      <c r="AA20">
        <v>14000</v>
      </c>
      <c r="AC20" t="str">
        <v>2015-01-23</v>
      </c>
      <c r="AD20" t="str">
        <v>US</v>
      </c>
      <c r="AE20">
        <v>11</v>
      </c>
      <c r="AF20">
        <v>3502</v>
      </c>
      <c r="AH20" t="str">
        <v>2015-01-23</v>
      </c>
      <c r="AI20" t="str">
        <v>US</v>
      </c>
      <c r="AJ20">
        <v>11</v>
      </c>
      <c r="AK20">
        <v>3502</v>
      </c>
      <c r="AM20" t="str">
        <v>2015-02-04</v>
      </c>
      <c r="AN20" t="str">
        <v>GERMANY</v>
      </c>
      <c r="AO20">
        <v>7</v>
      </c>
      <c r="AP20">
        <v>1850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 pathak</cp:lastModifiedBy>
  <dcterms:created xsi:type="dcterms:W3CDTF">2026-05-26T08:15:18Z</dcterms:created>
  <dcterms:modified xsi:type="dcterms:W3CDTF">2026-05-26T08:44:44Z</dcterms:modified>
</cp:coreProperties>
</file>