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DE4C61B4-C574-4230-BFD9-9697F341CF77}" xr6:coauthVersionLast="47" xr6:coauthVersionMax="47" xr10:uidLastSave="{00000000-0000-0000-0000-000000000000}"/>
  <bookViews>
    <workbookView xWindow="-108" yWindow="-108" windowWidth="23256" windowHeight="13176" xr2:uid="{D62FA4C0-6045-4A76-B3F5-1C1C1E9B6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 a="1"/>
  <c r="F55" i="1" s="1"/>
  <c r="F54" i="1" a="1"/>
  <c r="F54" i="1" s="1"/>
  <c r="G41" i="1"/>
  <c r="G42" i="1"/>
  <c r="G40" i="1"/>
  <c r="J22" i="1"/>
  <c r="J7" i="1"/>
  <c r="J8" i="1"/>
  <c r="J9" i="1"/>
  <c r="J6" i="1"/>
  <c r="I7" i="1"/>
  <c r="I8" i="1"/>
  <c r="I9" i="1"/>
  <c r="I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<sst xmlns="http://schemas.openxmlformats.org/spreadsheetml/2006/main" count="54" uniqueCount="20">
  <si>
    <t>MONTHS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</si>
  <si>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</si>
  <si>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</si>
  <si>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</si>
  <si>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</si>
  <si>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</si>
  <si>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</si>
  <si>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</si>
  <si>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</si>
  <si>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</si>
  <si>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</si>
  <si>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</si>
  <si>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</si>
  <si>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</si>
  <si>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KAK</t>
  </si>
  <si>
    <t>InvoiceId</t>
  </si>
  <si>
    <t>ProductKey</t>
  </si>
  <si>
    <t>Country</t>
  </si>
  <si>
    <t>Canada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</si>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</sst>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CC31-00E6-4A8D-A29F-8CB73E1B0D0B}">
  <dimension ref="D4:M55"/>
  <sheetViews>
    <sheetView tabSelected="1" topLeftCell="A36" zoomScale="115" zoomScaleNormal="115" workbookViewId="0">
      <selection activeCell="J52" sqref="J52"/>
    </sheetView>
  </sheetViews>
  <sheetFormatPr defaultRowHeight="14.4" x14ac:dyDescent="0.3"/>
  <cols>
    <col min="5" max="5" width="8.109375" bestFit="1" customWidth="1"/>
    <col min="6" max="6" width="10" bestFit="1" customWidth="1"/>
    <col min="7" max="7" width="8" bestFit="1" customWidth="1"/>
    <col min="10" max="10" width="10.77734375" customWidth="1"/>
  </cols>
  <sheetData>
    <row r="4" spans="5:10" x14ac:dyDescent="0.3">
      <c r="E4" s="1" t="s">
        <v>0</v>
      </c>
      <c r="F4" s="1" t="s">
        <v>1</v>
      </c>
    </row>
    <row r="5" spans="5:10" x14ac:dyDescent="0.3">
      <c r="E5" t="s">
        <v>2</v>
      </c>
      <c r="F5">
        <v>759</v>
      </c>
    </row>
    <row r="6" spans="5:10" x14ac:dyDescent="0.3">
      <c r="E6" t="s">
        <v>3</v>
      </c>
      <c r="F6">
        <v>344</v>
      </c>
      <c r="H6" t="s">
        <v>2</v>
      </c>
      <c r="I6">
        <f>_xlfn.XLOOKUP(H6,$E$5:$E$16,$F$5:$F$16)</f>
        <v>759</v>
      </c>
      <c r="J6">
        <f>_xlfn.XLOOKUP(H6,$E$5:$E$16,$F$5:$F$16,"NOT FOUND")</f>
        <v>759</v>
      </c>
    </row>
    <row r="7" spans="5:10" x14ac:dyDescent="0.3">
      <c r="E7" t="s">
        <v>4</v>
      </c>
      <c r="F7">
        <v>171</v>
      </c>
      <c r="H7" t="s">
        <v>5</v>
      </c>
      <c r="I7">
        <f t="shared" ref="I7:I9" si="0">_xlfn.XLOOKUP(H7,$E$5:$E$16,$F$5:$F$16)</f>
        <v>406</v>
      </c>
      <c r="J7">
        <f t="shared" ref="J7:J9" si="1">_xlfn.XLOOKUP(H7,$E$5:$E$16,$F$5:$F$16,"NOT FOUND")</f>
        <v>406</v>
      </c>
    </row>
    <row r="8" spans="5:10" x14ac:dyDescent="0.3">
      <c r="E8" t="s">
        <v>5</v>
      </c>
      <c r="F8">
        <v>406</v>
      </c>
      <c r="H8" t="s">
        <v>11</v>
      </c>
      <c r="I8">
        <f t="shared" si="0"/>
        <v>918</v>
      </c>
      <c r="J8">
        <f t="shared" si="1"/>
        <v>918</v>
      </c>
    </row>
    <row r="9" spans="5:10" x14ac:dyDescent="0.3">
      <c r="E9" t="s">
        <v>6</v>
      </c>
      <c r="F9">
        <v>678</v>
      </c>
      <c r="H9" t="s">
        <v>14</v>
      </c>
      <c r="I9" t="e">
        <f t="shared" si="0"/>
        <v>#N/A</v>
      </c>
      <c r="J9" t="str">
        <f t="shared" si="1"/>
        <v>NOT FOUND</v>
      </c>
    </row>
    <row r="10" spans="5:10" x14ac:dyDescent="0.3">
      <c r="E10" t="s">
        <v>7</v>
      </c>
      <c r="F10">
        <v>876</v>
      </c>
    </row>
    <row r="11" spans="5:10" x14ac:dyDescent="0.3">
      <c r="E11" t="s">
        <v>8</v>
      </c>
      <c r="F11">
        <v>632</v>
      </c>
    </row>
    <row r="12" spans="5:10" x14ac:dyDescent="0.3">
      <c r="E12" t="s">
        <v>9</v>
      </c>
      <c r="F12">
        <v>185</v>
      </c>
    </row>
    <row r="13" spans="5:10" x14ac:dyDescent="0.3">
      <c r="E13" t="s">
        <v>10</v>
      </c>
      <c r="F13">
        <v>398</v>
      </c>
    </row>
    <row r="14" spans="5:10" x14ac:dyDescent="0.3">
      <c r="E14" t="s">
        <v>11</v>
      </c>
      <c r="F14">
        <v>918</v>
      </c>
    </row>
    <row r="15" spans="5:10" x14ac:dyDescent="0.3">
      <c r="E15" t="s">
        <v>12</v>
      </c>
      <c r="F15">
        <v>215</v>
      </c>
    </row>
    <row r="16" spans="5:10" x14ac:dyDescent="0.3">
      <c r="E16" t="s">
        <v>13</v>
      </c>
      <c r="F16">
        <v>369</v>
      </c>
    </row>
    <row r="19" spans="6:10" x14ac:dyDescent="0.3">
      <c r="F19" s="1"/>
      <c r="G19" s="1"/>
    </row>
    <row r="20" spans="6:10" x14ac:dyDescent="0.3">
      <c r="F20" s="1" t="s">
        <v>1</v>
      </c>
      <c r="G20" s="1" t="s">
        <v>0</v>
      </c>
    </row>
    <row r="21" spans="6:10" x14ac:dyDescent="0.3">
      <c r="F21">
        <v>759</v>
      </c>
      <c r="G21" t="s">
        <v>2</v>
      </c>
    </row>
    <row r="22" spans="6:10" x14ac:dyDescent="0.3">
      <c r="F22">
        <v>344</v>
      </c>
      <c r="G22" t="s">
        <v>3</v>
      </c>
      <c r="I22" t="s">
        <v>4</v>
      </c>
      <c r="J22">
        <f>_xlfn.XLOOKUP(I22,$G$21:$G$32,$F$21:$F$32)</f>
        <v>171</v>
      </c>
    </row>
    <row r="23" spans="6:10" x14ac:dyDescent="0.3">
      <c r="F23">
        <v>171</v>
      </c>
      <c r="G23" t="s">
        <v>4</v>
      </c>
    </row>
    <row r="24" spans="6:10" x14ac:dyDescent="0.3">
      <c r="F24">
        <v>406</v>
      </c>
      <c r="G24" t="s">
        <v>5</v>
      </c>
    </row>
    <row r="25" spans="6:10" x14ac:dyDescent="0.3">
      <c r="F25">
        <v>678</v>
      </c>
      <c r="G25" t="s">
        <v>6</v>
      </c>
    </row>
    <row r="26" spans="6:10" x14ac:dyDescent="0.3">
      <c r="F26">
        <v>876</v>
      </c>
      <c r="G26" t="s">
        <v>7</v>
      </c>
    </row>
    <row r="27" spans="6:10" x14ac:dyDescent="0.3">
      <c r="F27">
        <v>632</v>
      </c>
      <c r="G27" t="s">
        <v>8</v>
      </c>
    </row>
    <row r="28" spans="6:10" x14ac:dyDescent="0.3">
      <c r="F28">
        <v>185</v>
      </c>
      <c r="G28" t="s">
        <v>9</v>
      </c>
    </row>
    <row r="29" spans="6:10" x14ac:dyDescent="0.3">
      <c r="F29">
        <v>398</v>
      </c>
      <c r="G29" t="s">
        <v>10</v>
      </c>
    </row>
    <row r="30" spans="6:10" x14ac:dyDescent="0.3">
      <c r="F30">
        <v>918</v>
      </c>
      <c r="G30" t="s">
        <v>11</v>
      </c>
    </row>
    <row r="31" spans="6:10" x14ac:dyDescent="0.3">
      <c r="F31">
        <v>215</v>
      </c>
      <c r="G31" t="s">
        <v>12</v>
      </c>
    </row>
    <row r="32" spans="6:10" x14ac:dyDescent="0.3">
      <c r="F32">
        <v>369</v>
      </c>
      <c r="G32" t="s">
        <v>13</v>
      </c>
    </row>
    <row r="36" spans="4:13" x14ac:dyDescent="0.3">
      <c r="D36" s="1" t="s">
        <v>1</v>
      </c>
      <c r="E36">
        <v>759</v>
      </c>
      <c r="F36">
        <v>344</v>
      </c>
      <c r="G36">
        <v>171</v>
      </c>
      <c r="H36">
        <v>632</v>
      </c>
      <c r="I36">
        <v>185</v>
      </c>
      <c r="J36">
        <v>398</v>
      </c>
      <c r="K36">
        <v>918</v>
      </c>
      <c r="L36">
        <v>215</v>
      </c>
      <c r="M36">
        <v>369</v>
      </c>
    </row>
    <row r="37" spans="4:13" x14ac:dyDescent="0.3">
      <c r="D37" s="1" t="s">
        <v>0</v>
      </c>
      <c r="E37" t="s">
        <v>2</v>
      </c>
      <c r="F37" t="s">
        <v>3</v>
      </c>
      <c r="G37" t="s">
        <v>4</v>
      </c>
      <c r="H37" t="s">
        <v>8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</row>
    <row r="40" spans="4:13" x14ac:dyDescent="0.3">
      <c r="F40" t="s">
        <v>4</v>
      </c>
      <c r="G40">
        <f>_xlfn.XLOOKUP(F40,$E$37:$M$37,$E$36:$M$36)</f>
        <v>171</v>
      </c>
    </row>
    <row r="41" spans="4:13" x14ac:dyDescent="0.3">
      <c r="F41" t="s">
        <v>2</v>
      </c>
      <c r="G41">
        <f t="shared" ref="G41:G42" si="2">_xlfn.XLOOKUP(F41,$E$37:$M$37,$E$36:$M$36)</f>
        <v>759</v>
      </c>
    </row>
    <row r="42" spans="4:13" x14ac:dyDescent="0.3">
      <c r="F42" t="s">
        <v>5</v>
      </c>
      <c r="G42" t="e">
        <f t="shared" si="2"/>
        <v>#N/A</v>
      </c>
    </row>
    <row r="46" spans="4:13" x14ac:dyDescent="0.3">
      <c r="E46" t="s">
        <v>15</v>
      </c>
      <c r="F46" t="s">
        <v>16</v>
      </c>
      <c r="G46" t="s">
        <v>17</v>
      </c>
    </row>
    <row r="47" spans="4:13" x14ac:dyDescent="0.3">
      <c r="E47">
        <v>10064</v>
      </c>
      <c r="F47">
        <v>214</v>
      </c>
      <c r="G47" t="s">
        <v>18</v>
      </c>
    </row>
    <row r="48" spans="4:13" x14ac:dyDescent="0.3">
      <c r="E48">
        <v>10855</v>
      </c>
      <c r="F48">
        <v>315</v>
      </c>
      <c r="G48" t="s">
        <v>18</v>
      </c>
    </row>
    <row r="49" spans="5:7" x14ac:dyDescent="0.3">
      <c r="E49">
        <v>10511</v>
      </c>
      <c r="F49">
        <v>604</v>
      </c>
      <c r="G49" t="s">
        <v>19</v>
      </c>
    </row>
    <row r="50" spans="5:7" x14ac:dyDescent="0.3">
      <c r="E50">
        <v>10036</v>
      </c>
      <c r="F50">
        <v>981</v>
      </c>
      <c r="G50" t="s">
        <v>18</v>
      </c>
    </row>
    <row r="51" spans="5:7" x14ac:dyDescent="0.3">
      <c r="E51" s="2"/>
      <c r="F51" s="2"/>
      <c r="G51" s="2"/>
    </row>
    <row r="54" spans="5:7" x14ac:dyDescent="0.3">
      <c r="E54">
        <v>10855</v>
      </c>
      <c r="F54" cm="1">
        <f t="array" ref="F54:G54">_xlfn.XLOOKUP(E54,$E$47:$E$50,$F$47:$G$50)</f>
        <v>315</v>
      </c>
      <c r="G54" t="str">
        <v>Canada</v>
      </c>
    </row>
    <row r="55" spans="5:7" x14ac:dyDescent="0.3">
      <c r="E55">
        <v>10036</v>
      </c>
      <c r="F55" cm="1">
        <f t="array" ref="F55:G55">_xlfn.XLOOKUP(E55,$E$47:$E$50,$F$47:$G$50)</f>
        <v>981</v>
      </c>
      <c r="G55" t="str">
        <v>Canada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2025-04-19T08:11:41Z</dcterms:created>
  <dcterms:modified xsi:type="dcterms:W3CDTF">2026-05-22T11:55:14Z</dcterms:modified>
</cp:coreProperties>
</file>