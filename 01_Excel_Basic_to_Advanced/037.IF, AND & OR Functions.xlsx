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A1C418E8-BCC3-4316-93AA-EEA9FB245D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M20" i="1"/>
  <c r="M17" i="1"/>
  <c r="M18" i="1"/>
  <c r="M19" i="1"/>
  <c r="M21" i="1"/>
  <c r="M22" i="1"/>
  <c r="M16" i="1"/>
  <c r="M11" i="1"/>
  <c r="M12" i="1"/>
  <c r="M13" i="1"/>
  <c r="M14" i="1"/>
  <c r="M1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<sst xmlns="http://schemas.openxmlformats.org/spreadsheetml/2006/main" count="53" uniqueCount="33">
  <si>
    <t>DATE</t>
  </si>
  <si>
    <t>COUNTRY</t>
  </si>
  <si>
    <t>PRODUCTKEY</t>
  </si>
  <si>
    <t>SALES</t>
  </si>
  <si>
    <t>2015-02-04</t>
  </si>
  <si>
    <t>GERMANY</t>
  </si>
  <si>
    <t>2015-01-28</t>
  </si>
  <si>
    <t>UK</t>
  </si>
  <si>
    <t>2015-01-27</t>
  </si>
  <si>
    <t>2015-01-23</t>
  </si>
  <si>
    <t>US</t>
  </si>
  <si>
    <t>INDIA</t>
  </si>
  <si>
    <t>2015-01-22</t>
  </si>
  <si>
    <t>2015-01-18</t>
  </si>
  <si>
    <t>2015-01-13</t>
  </si>
  <si>
    <t>2015-01-09</t>
  </si>
  <si>
    <t>2015-01-05</t>
  </si>
  <si>
    <t>2015-01-04</t>
  </si>
  <si>
    <t>2015-01-03</t>
  </si>
  <si>
    <t>2015-01-02</t>
  </si>
  <si>
    <t>2015-01-01</t>
  </si>
  <si>
    <t>2025-05-12</t>
  </si>
  <si>
    <t>Discount</t>
  </si>
  <si>
    <t>=</t>
  </si>
  <si>
    <t>&gt;</t>
  </si>
  <si>
    <t>&lt;&gt;</t>
  </si>
  <si>
    <t>&gt;=</t>
  </si>
  <si>
    <t>&lt;</t>
  </si>
  <si>
    <t>&lt;=</t>
  </si>
  <si>
    <t>FINAL</t>
  </si>
  <si>
    <t>AND</t>
  </si>
  <si>
    <t>OR</t>
  </si>
  <si>
    <t>NESTED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</si>
</sst>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I2" sqref="I2"/>
    </sheetView>
  </sheetViews>
  <sheetFormatPr defaultRowHeight="14.4" x14ac:dyDescent="0.3"/>
  <cols>
    <col min="1" max="1" width="12.109375" customWidth="1"/>
    <col min="2" max="2" width="10.88671875" customWidth="1"/>
    <col min="3" max="3" width="13.5546875" customWidth="1"/>
    <col min="4" max="4" width="9.33203125" customWidth="1"/>
    <col min="9" max="9" width="17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13" x14ac:dyDescent="0.3">
      <c r="A2" t="s">
        <v>4</v>
      </c>
      <c r="B2" t="s">
        <v>5</v>
      </c>
      <c r="C2">
        <v>7</v>
      </c>
      <c r="D2">
        <v>1850</v>
      </c>
      <c r="E2">
        <f>IF(D2&gt;=10000,D2*5%,0)</f>
        <v>0</v>
      </c>
      <c r="F2">
        <f>IF(D2&gt;=10000,D2-D2*5%,D2)</f>
        <v>1850</v>
      </c>
      <c r="G2">
        <f>IF(AND(B2="INDIA",D2&gt;10000),D2*5%,D2)</f>
        <v>1850</v>
      </c>
      <c r="H2">
        <f>IF(OR(B2="INDIA",D2&gt;10000),D2*5%,D2)</f>
        <v>1850</v>
      </c>
      <c r="I2">
        <f>IF(B2="INDIA",D2*95%,IF(B2="GERMANY",D2*96%,IF(B2="UK",D2*97%,D2*98%)))</f>
        <v>1776</v>
      </c>
    </row>
    <row r="3" spans="1:13" x14ac:dyDescent="0.3">
      <c r="A3" t="s">
        <v>6</v>
      </c>
      <c r="B3" t="s">
        <v>7</v>
      </c>
      <c r="C3">
        <v>24</v>
      </c>
      <c r="D3">
        <v>9991</v>
      </c>
      <c r="E3">
        <f t="shared" ref="E3:E20" si="0">IF(D3&gt;=10000,D3*5%,0)</f>
        <v>0</v>
      </c>
      <c r="F3">
        <f t="shared" ref="F3:F20" si="1">IF(D3&gt;=10000,D3-D3*5%,D3)</f>
        <v>9991</v>
      </c>
      <c r="G3">
        <f t="shared" ref="G3:G20" si="2">IF(AND(B3="INDIA",D3&gt;10000),D3*5%,D3)</f>
        <v>9991</v>
      </c>
      <c r="H3">
        <f t="shared" ref="H3:H20" si="3">IF(OR(B3="INDIA",D3&gt;10000),D3*5%,D3)</f>
        <v>9991</v>
      </c>
      <c r="I3">
        <f t="shared" ref="I3:I20" si="4">IF(B3="INDIA",D3*95%,IF(B3="GERMANY",D3*96%,IF(B3="UK",D3*97%,D3*98%)))</f>
        <v>9691.27</v>
      </c>
      <c r="M3" t="s">
        <v>23</v>
      </c>
    </row>
    <row r="4" spans="1:13" x14ac:dyDescent="0.3">
      <c r="A4" t="s">
        <v>8</v>
      </c>
      <c r="B4" t="s">
        <v>7</v>
      </c>
      <c r="C4">
        <v>26</v>
      </c>
      <c r="D4">
        <v>7904</v>
      </c>
      <c r="E4">
        <f t="shared" si="0"/>
        <v>0</v>
      </c>
      <c r="F4">
        <f t="shared" si="1"/>
        <v>7904</v>
      </c>
      <c r="G4">
        <f t="shared" si="2"/>
        <v>7904</v>
      </c>
      <c r="H4">
        <f t="shared" si="3"/>
        <v>7904</v>
      </c>
      <c r="I4">
        <f t="shared" si="4"/>
        <v>7666.88</v>
      </c>
      <c r="M4" t="s">
        <v>25</v>
      </c>
    </row>
    <row r="5" spans="1:13" x14ac:dyDescent="0.3">
      <c r="A5" t="s">
        <v>9</v>
      </c>
      <c r="B5" t="s">
        <v>10</v>
      </c>
      <c r="C5">
        <v>11</v>
      </c>
      <c r="D5">
        <v>3502</v>
      </c>
      <c r="E5">
        <f t="shared" si="0"/>
        <v>0</v>
      </c>
      <c r="F5">
        <f t="shared" si="1"/>
        <v>3502</v>
      </c>
      <c r="G5">
        <f t="shared" si="2"/>
        <v>3502</v>
      </c>
      <c r="H5">
        <f t="shared" si="3"/>
        <v>3502</v>
      </c>
      <c r="I5">
        <f t="shared" si="4"/>
        <v>3431.96</v>
      </c>
      <c r="M5" t="s">
        <v>24</v>
      </c>
    </row>
    <row r="6" spans="1:13" x14ac:dyDescent="0.3">
      <c r="A6" t="s">
        <v>9</v>
      </c>
      <c r="B6" t="s">
        <v>11</v>
      </c>
      <c r="C6">
        <v>6</v>
      </c>
      <c r="D6">
        <v>3629</v>
      </c>
      <c r="E6">
        <f t="shared" si="0"/>
        <v>0</v>
      </c>
      <c r="F6">
        <f t="shared" si="1"/>
        <v>3629</v>
      </c>
      <c r="G6">
        <f t="shared" si="2"/>
        <v>3629</v>
      </c>
      <c r="H6">
        <f t="shared" si="3"/>
        <v>181.45000000000002</v>
      </c>
      <c r="I6">
        <f t="shared" si="4"/>
        <v>3447.5499999999997</v>
      </c>
      <c r="M6" t="s">
        <v>26</v>
      </c>
    </row>
    <row r="7" spans="1:13" x14ac:dyDescent="0.3">
      <c r="A7" t="s">
        <v>12</v>
      </c>
      <c r="B7" t="s">
        <v>10</v>
      </c>
      <c r="C7">
        <v>23</v>
      </c>
      <c r="D7">
        <v>8868</v>
      </c>
      <c r="E7">
        <f t="shared" si="0"/>
        <v>0</v>
      </c>
      <c r="F7">
        <f t="shared" si="1"/>
        <v>8868</v>
      </c>
      <c r="G7">
        <f t="shared" si="2"/>
        <v>8868</v>
      </c>
      <c r="H7">
        <f t="shared" si="3"/>
        <v>8868</v>
      </c>
      <c r="I7">
        <f t="shared" si="4"/>
        <v>8690.64</v>
      </c>
      <c r="M7" t="s">
        <v>27</v>
      </c>
    </row>
    <row r="8" spans="1:13" x14ac:dyDescent="0.3">
      <c r="A8" t="s">
        <v>12</v>
      </c>
      <c r="B8" t="s">
        <v>10</v>
      </c>
      <c r="C8">
        <v>9</v>
      </c>
      <c r="D8">
        <v>10697</v>
      </c>
      <c r="E8">
        <f t="shared" si="0"/>
        <v>534.85</v>
      </c>
      <c r="F8">
        <f t="shared" si="1"/>
        <v>10162.15</v>
      </c>
      <c r="G8">
        <f t="shared" si="2"/>
        <v>10697</v>
      </c>
      <c r="H8">
        <f t="shared" si="3"/>
        <v>534.85</v>
      </c>
      <c r="I8">
        <f t="shared" si="4"/>
        <v>10483.06</v>
      </c>
      <c r="M8" t="s">
        <v>28</v>
      </c>
    </row>
    <row r="9" spans="1:13" x14ac:dyDescent="0.3">
      <c r="A9" t="s">
        <v>13</v>
      </c>
      <c r="B9" t="s">
        <v>11</v>
      </c>
      <c r="C9">
        <v>21</v>
      </c>
      <c r="D9">
        <v>10060</v>
      </c>
      <c r="E9">
        <f t="shared" si="0"/>
        <v>503</v>
      </c>
      <c r="F9">
        <f t="shared" si="1"/>
        <v>9557</v>
      </c>
      <c r="G9">
        <f t="shared" si="2"/>
        <v>503</v>
      </c>
      <c r="H9">
        <f t="shared" si="3"/>
        <v>503</v>
      </c>
      <c r="I9">
        <f t="shared" si="4"/>
        <v>9557</v>
      </c>
    </row>
    <row r="10" spans="1:13" x14ac:dyDescent="0.3">
      <c r="A10" t="s">
        <v>14</v>
      </c>
      <c r="B10" t="s">
        <v>11</v>
      </c>
      <c r="C10">
        <v>7</v>
      </c>
      <c r="D10">
        <v>4096</v>
      </c>
      <c r="E10">
        <f t="shared" si="0"/>
        <v>0</v>
      </c>
      <c r="F10">
        <f t="shared" si="1"/>
        <v>4096</v>
      </c>
      <c r="G10">
        <f t="shared" si="2"/>
        <v>4096</v>
      </c>
      <c r="H10">
        <f t="shared" si="3"/>
        <v>204.8</v>
      </c>
      <c r="I10">
        <f t="shared" si="4"/>
        <v>3891.2</v>
      </c>
      <c r="K10">
        <v>10</v>
      </c>
      <c r="L10">
        <v>20</v>
      </c>
      <c r="M10" t="b">
        <f>AND(K10=10,L10=20)</f>
        <v>1</v>
      </c>
    </row>
    <row r="11" spans="1:13" x14ac:dyDescent="0.3">
      <c r="A11" t="s">
        <v>14</v>
      </c>
      <c r="B11" t="s">
        <v>10</v>
      </c>
      <c r="C11">
        <v>12</v>
      </c>
      <c r="D11">
        <v>7368</v>
      </c>
      <c r="E11">
        <f t="shared" si="0"/>
        <v>0</v>
      </c>
      <c r="F11">
        <f t="shared" si="1"/>
        <v>7368</v>
      </c>
      <c r="G11">
        <f t="shared" si="2"/>
        <v>7368</v>
      </c>
      <c r="H11">
        <f t="shared" si="3"/>
        <v>7368</v>
      </c>
      <c r="I11">
        <f t="shared" si="4"/>
        <v>7220.6399999999994</v>
      </c>
      <c r="K11" s="2">
        <v>10</v>
      </c>
      <c r="L11" s="2">
        <v>12</v>
      </c>
      <c r="M11" s="2" t="b">
        <f t="shared" ref="M11:M14" si="5">AND(K11=10,L11=20)</f>
        <v>0</v>
      </c>
    </row>
    <row r="12" spans="1:13" x14ac:dyDescent="0.3">
      <c r="A12" t="s">
        <v>15</v>
      </c>
      <c r="B12" t="s">
        <v>5</v>
      </c>
      <c r="C12">
        <v>7</v>
      </c>
      <c r="D12">
        <v>6971</v>
      </c>
      <c r="E12">
        <f t="shared" si="0"/>
        <v>0</v>
      </c>
      <c r="F12">
        <f t="shared" si="1"/>
        <v>6971</v>
      </c>
      <c r="G12">
        <f t="shared" si="2"/>
        <v>6971</v>
      </c>
      <c r="H12">
        <f t="shared" si="3"/>
        <v>6971</v>
      </c>
      <c r="I12">
        <f t="shared" si="4"/>
        <v>6692.16</v>
      </c>
      <c r="K12" s="2">
        <v>18</v>
      </c>
      <c r="L12" s="2">
        <v>20</v>
      </c>
      <c r="M12" s="2" t="b">
        <f t="shared" si="5"/>
        <v>0</v>
      </c>
    </row>
    <row r="13" spans="1:13" x14ac:dyDescent="0.3">
      <c r="A13" t="s">
        <v>16</v>
      </c>
      <c r="B13" t="s">
        <v>11</v>
      </c>
      <c r="C13">
        <v>4</v>
      </c>
      <c r="D13">
        <v>7717</v>
      </c>
      <c r="E13">
        <f t="shared" si="0"/>
        <v>0</v>
      </c>
      <c r="F13">
        <f t="shared" si="1"/>
        <v>7717</v>
      </c>
      <c r="G13">
        <f t="shared" si="2"/>
        <v>7717</v>
      </c>
      <c r="H13">
        <f t="shared" si="3"/>
        <v>385.85</v>
      </c>
      <c r="I13">
        <f t="shared" si="4"/>
        <v>7331.15</v>
      </c>
      <c r="K13">
        <v>10</v>
      </c>
      <c r="L13">
        <v>20</v>
      </c>
      <c r="M13" t="b">
        <f t="shared" si="5"/>
        <v>1</v>
      </c>
    </row>
    <row r="14" spans="1:13" x14ac:dyDescent="0.3">
      <c r="A14" t="s">
        <v>17</v>
      </c>
      <c r="B14" t="s">
        <v>7</v>
      </c>
      <c r="C14">
        <v>6</v>
      </c>
      <c r="D14">
        <v>12533</v>
      </c>
      <c r="E14">
        <f t="shared" si="0"/>
        <v>626.65000000000009</v>
      </c>
      <c r="F14">
        <f t="shared" si="1"/>
        <v>11906.35</v>
      </c>
      <c r="G14">
        <f t="shared" si="2"/>
        <v>12533</v>
      </c>
      <c r="H14">
        <f t="shared" si="3"/>
        <v>626.65000000000009</v>
      </c>
      <c r="I14">
        <f t="shared" si="4"/>
        <v>12157.01</v>
      </c>
      <c r="K14">
        <v>10</v>
      </c>
      <c r="L14">
        <v>20</v>
      </c>
      <c r="M14" t="b">
        <f t="shared" si="5"/>
        <v>1</v>
      </c>
    </row>
    <row r="15" spans="1:13" x14ac:dyDescent="0.3">
      <c r="A15" t="s">
        <v>17</v>
      </c>
      <c r="B15" t="s">
        <v>11</v>
      </c>
      <c r="C15">
        <v>6</v>
      </c>
      <c r="D15">
        <v>11089</v>
      </c>
      <c r="E15">
        <f t="shared" si="0"/>
        <v>554.45000000000005</v>
      </c>
      <c r="F15">
        <f t="shared" si="1"/>
        <v>10534.55</v>
      </c>
      <c r="G15">
        <f t="shared" si="2"/>
        <v>554.45000000000005</v>
      </c>
      <c r="H15">
        <f t="shared" si="3"/>
        <v>554.45000000000005</v>
      </c>
      <c r="I15">
        <f t="shared" si="4"/>
        <v>10534.55</v>
      </c>
    </row>
    <row r="16" spans="1:13" x14ac:dyDescent="0.3">
      <c r="A16" t="s">
        <v>18</v>
      </c>
      <c r="B16" t="s">
        <v>7</v>
      </c>
      <c r="C16">
        <v>23</v>
      </c>
      <c r="D16">
        <v>11224</v>
      </c>
      <c r="E16">
        <f t="shared" si="0"/>
        <v>561.20000000000005</v>
      </c>
      <c r="F16">
        <f t="shared" si="1"/>
        <v>10662.8</v>
      </c>
      <c r="G16">
        <f t="shared" si="2"/>
        <v>11224</v>
      </c>
      <c r="H16">
        <f t="shared" si="3"/>
        <v>561.20000000000005</v>
      </c>
      <c r="I16">
        <f t="shared" si="4"/>
        <v>10887.279999999999</v>
      </c>
      <c r="K16">
        <v>10</v>
      </c>
      <c r="L16">
        <v>20</v>
      </c>
      <c r="M16" t="b">
        <f>OR(K16=10,L16=20)</f>
        <v>1</v>
      </c>
    </row>
    <row r="17" spans="1:13" x14ac:dyDescent="0.3">
      <c r="A17" t="s">
        <v>19</v>
      </c>
      <c r="B17" t="s">
        <v>5</v>
      </c>
      <c r="C17">
        <v>6</v>
      </c>
      <c r="D17">
        <v>10057</v>
      </c>
      <c r="E17">
        <f t="shared" si="0"/>
        <v>502.85</v>
      </c>
      <c r="F17">
        <f t="shared" si="1"/>
        <v>9554.15</v>
      </c>
      <c r="G17">
        <f t="shared" si="2"/>
        <v>10057</v>
      </c>
      <c r="H17">
        <f t="shared" si="3"/>
        <v>502.85</v>
      </c>
      <c r="I17">
        <f t="shared" si="4"/>
        <v>9654.7199999999993</v>
      </c>
      <c r="K17">
        <v>5</v>
      </c>
      <c r="L17">
        <v>20</v>
      </c>
      <c r="M17" t="b">
        <f t="shared" ref="M17:M22" si="6">OR(K17=10,L17=20)</f>
        <v>1</v>
      </c>
    </row>
    <row r="18" spans="1:13" x14ac:dyDescent="0.3">
      <c r="A18" t="s">
        <v>19</v>
      </c>
      <c r="B18" t="s">
        <v>11</v>
      </c>
      <c r="C18">
        <v>4</v>
      </c>
      <c r="D18">
        <v>10574</v>
      </c>
      <c r="E18">
        <f t="shared" si="0"/>
        <v>528.70000000000005</v>
      </c>
      <c r="F18">
        <f t="shared" si="1"/>
        <v>10045.299999999999</v>
      </c>
      <c r="G18">
        <f t="shared" si="2"/>
        <v>528.70000000000005</v>
      </c>
      <c r="H18">
        <f t="shared" si="3"/>
        <v>528.70000000000005</v>
      </c>
      <c r="I18">
        <f t="shared" si="4"/>
        <v>10045.299999999999</v>
      </c>
      <c r="K18">
        <v>10</v>
      </c>
      <c r="L18">
        <v>20</v>
      </c>
      <c r="M18" t="b">
        <f t="shared" si="6"/>
        <v>1</v>
      </c>
    </row>
    <row r="19" spans="1:13" x14ac:dyDescent="0.3">
      <c r="A19" t="s">
        <v>20</v>
      </c>
      <c r="B19" t="s">
        <v>11</v>
      </c>
      <c r="C19">
        <v>10</v>
      </c>
      <c r="D19">
        <v>7067</v>
      </c>
      <c r="E19">
        <f t="shared" si="0"/>
        <v>0</v>
      </c>
      <c r="F19">
        <f t="shared" si="1"/>
        <v>7067</v>
      </c>
      <c r="G19">
        <f t="shared" si="2"/>
        <v>7067</v>
      </c>
      <c r="H19">
        <f t="shared" si="3"/>
        <v>353.35</v>
      </c>
      <c r="I19">
        <f t="shared" si="4"/>
        <v>6713.65</v>
      </c>
      <c r="K19">
        <v>10</v>
      </c>
      <c r="L19">
        <v>20</v>
      </c>
      <c r="M19" t="b">
        <f t="shared" si="6"/>
        <v>1</v>
      </c>
    </row>
    <row r="20" spans="1:13" x14ac:dyDescent="0.3">
      <c r="A20" t="s">
        <v>21</v>
      </c>
      <c r="B20" t="s">
        <v>11</v>
      </c>
      <c r="C20">
        <v>20</v>
      </c>
      <c r="D20">
        <v>14000</v>
      </c>
      <c r="E20">
        <f t="shared" si="0"/>
        <v>700</v>
      </c>
      <c r="F20">
        <f t="shared" si="1"/>
        <v>13300</v>
      </c>
      <c r="G20">
        <f t="shared" si="2"/>
        <v>700</v>
      </c>
      <c r="H20">
        <f t="shared" si="3"/>
        <v>700</v>
      </c>
      <c r="I20">
        <f t="shared" si="4"/>
        <v>13300</v>
      </c>
      <c r="K20">
        <v>10</v>
      </c>
      <c r="L20">
        <v>20</v>
      </c>
      <c r="M20" t="b">
        <f>OR(K20=10,L20=20)</f>
        <v>1</v>
      </c>
    </row>
    <row r="21" spans="1:13" x14ac:dyDescent="0.3">
      <c r="K21" s="2">
        <v>17</v>
      </c>
      <c r="L21" s="2">
        <v>28</v>
      </c>
      <c r="M21" s="2" t="b">
        <f t="shared" si="6"/>
        <v>0</v>
      </c>
    </row>
    <row r="22" spans="1:13" x14ac:dyDescent="0.3">
      <c r="K22" s="2">
        <v>12</v>
      </c>
      <c r="L22" s="2">
        <v>18</v>
      </c>
      <c r="M22" s="2" t="b">
        <f t="shared" si="6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pathak</cp:lastModifiedBy>
  <dcterms:created xsi:type="dcterms:W3CDTF">2026-05-26T08:15:18Z</dcterms:created>
  <dcterms:modified xsi:type="dcterms:W3CDTF">2026-05-28T16:59:05Z</dcterms:modified>
</cp:coreProperties>
</file>